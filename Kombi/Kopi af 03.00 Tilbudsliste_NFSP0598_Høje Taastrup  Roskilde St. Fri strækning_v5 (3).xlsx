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20CF2472-AF7B-48AA-8CC0-409F3CC46469}" xr6:coauthVersionLast="47" xr6:coauthVersionMax="47" xr10:uidLastSave="{00000000-0000-0000-0000-000000000000}"/>
  <bookViews>
    <workbookView xWindow="-25185" yWindow="-16725" windowWidth="29040" windowHeight="15720" tabRatio="803" activeTab="3" xr2:uid="{00000000-000D-0000-FFFF-FFFF00000000}"/>
  </bookViews>
  <sheets>
    <sheet name="Forside" sheetId="5" r:id="rId1"/>
    <sheet name="Revisionslog" sheetId="3" r:id="rId2"/>
    <sheet name="Hovedtilbudsliste" sheetId="4" r:id="rId3"/>
    <sheet name="3 Spor" sheetId="1" r:id="rId4"/>
    <sheet name="4 Jord og ballast" sheetId="2" r:id="rId5"/>
    <sheet name="5 Afvanding" sheetId="6" r:id="rId6"/>
    <sheet name="6 Kabelomlægning og føringsveje" sheetId="7" r:id="rId7"/>
    <sheet name="8 Perroner" sheetId="8" r:id="rId8"/>
    <sheet name="9 Kørestrøm" sheetId="9" r:id="rId9"/>
    <sheet name="10 Sikring" sheetId="10" r:id="rId10"/>
    <sheet name="12 Broer og konstruktioner" sheetId="11" r:id="rId11"/>
    <sheet name="14 Håndtering og bortskaffelse" sheetId="12" r:id="rId12"/>
    <sheet name="15 Administration og arbejdspla" sheetId="13" r:id="rId13"/>
    <sheet name="16 Ændringsydelser" sheetId="14" r:id="rId14"/>
    <sheet name="CO2 aftryk" sheetId="15" r:id="rId15"/>
    <sheet name="NAB" sheetId="16" state="hidden" r:id="rId16"/>
  </sheets>
  <definedNames>
    <definedName name="_xlnm.Print_Area" localSheetId="0">Forside!$A1:$I48</definedName>
    <definedName name="_xlnm.Print_Area" localSheetId="2">Hovedtilbudsliste!$A$1:$E$47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1" l="1"/>
  <c r="R5" i="13"/>
  <c r="S266" i="16" s="1"/>
  <c r="R7" i="13"/>
  <c r="R8" i="13"/>
  <c r="R9" i="13"/>
  <c r="R10" i="13"/>
  <c r="S271" i="16" s="1"/>
  <c r="R11" i="13"/>
  <c r="R12" i="13"/>
  <c r="S273" i="16" s="1"/>
  <c r="R13" i="13"/>
  <c r="S274" i="16" s="1"/>
  <c r="R14" i="13"/>
  <c r="R15" i="13"/>
  <c r="R16" i="13"/>
  <c r="R17" i="13"/>
  <c r="R18" i="13"/>
  <c r="S279" i="16" s="1"/>
  <c r="R19" i="13"/>
  <c r="R20" i="13"/>
  <c r="S281" i="16" s="1"/>
  <c r="R21" i="13"/>
  <c r="S282" i="16" s="1"/>
  <c r="R22" i="13"/>
  <c r="R23" i="13"/>
  <c r="R24" i="13"/>
  <c r="R25" i="13"/>
  <c r="R26" i="13"/>
  <c r="S287" i="16" s="1"/>
  <c r="R27" i="13"/>
  <c r="R28" i="13"/>
  <c r="S289" i="16" s="1"/>
  <c r="R29" i="13"/>
  <c r="S290" i="16" s="1"/>
  <c r="R30" i="13"/>
  <c r="R31" i="13"/>
  <c r="R32" i="13"/>
  <c r="R33" i="13"/>
  <c r="R34" i="13"/>
  <c r="S295" i="16" s="1"/>
  <c r="R35" i="13"/>
  <c r="R36" i="13"/>
  <c r="S297" i="16" s="1"/>
  <c r="S298" i="16"/>
  <c r="R38" i="13"/>
  <c r="R40" i="13"/>
  <c r="R4" i="13"/>
  <c r="R6" i="12"/>
  <c r="R7" i="12"/>
  <c r="R8" i="12"/>
  <c r="S253" i="16" s="1"/>
  <c r="R9" i="12"/>
  <c r="R10" i="12"/>
  <c r="S255" i="16" s="1"/>
  <c r="R11" i="12"/>
  <c r="S256" i="16" s="1"/>
  <c r="R12" i="12"/>
  <c r="T12" i="12" s="1"/>
  <c r="U257" i="16" s="1"/>
  <c r="R13" i="12"/>
  <c r="R14" i="12"/>
  <c r="R15" i="12"/>
  <c r="R16" i="12"/>
  <c r="S261" i="16" s="1"/>
  <c r="R17" i="12"/>
  <c r="R5" i="12"/>
  <c r="S249" i="16" s="1"/>
  <c r="S226" i="16"/>
  <c r="S228" i="16"/>
  <c r="R9" i="11"/>
  <c r="R10" i="11"/>
  <c r="R11" i="11"/>
  <c r="R12" i="11"/>
  <c r="T12" i="11" s="1"/>
  <c r="U233" i="16" s="1"/>
  <c r="R13" i="11"/>
  <c r="S234" i="16" s="1"/>
  <c r="R14" i="11"/>
  <c r="R15" i="11"/>
  <c r="S236" i="16" s="1"/>
  <c r="R16" i="11"/>
  <c r="R17" i="11"/>
  <c r="R18" i="11"/>
  <c r="R19" i="11"/>
  <c r="T20" i="11"/>
  <c r="U241" i="16" s="1"/>
  <c r="R21" i="11"/>
  <c r="S242" i="16" s="1"/>
  <c r="R23" i="11"/>
  <c r="S244" i="16" s="1"/>
  <c r="R24" i="11"/>
  <c r="R4" i="11"/>
  <c r="R5" i="10"/>
  <c r="R6" i="10"/>
  <c r="R8" i="10"/>
  <c r="R9" i="10"/>
  <c r="R10" i="10"/>
  <c r="R11" i="10"/>
  <c r="R12" i="10"/>
  <c r="S203" i="16" s="1"/>
  <c r="R13" i="10"/>
  <c r="R15" i="10"/>
  <c r="R16" i="10"/>
  <c r="R18" i="10"/>
  <c r="R19" i="10"/>
  <c r="R20" i="10"/>
  <c r="S211" i="16" s="1"/>
  <c r="R22" i="10"/>
  <c r="R23" i="10"/>
  <c r="R25" i="10"/>
  <c r="R26" i="10"/>
  <c r="R27" i="10"/>
  <c r="S219" i="16"/>
  <c r="R29" i="10"/>
  <c r="R30" i="10"/>
  <c r="R4" i="10"/>
  <c r="R6" i="9"/>
  <c r="S142" i="16" s="1"/>
  <c r="R7" i="9"/>
  <c r="T8" i="9"/>
  <c r="U144" i="16" s="1"/>
  <c r="R9" i="9"/>
  <c r="R10" i="9"/>
  <c r="R11" i="9"/>
  <c r="R12" i="9"/>
  <c r="S148" i="16" s="1"/>
  <c r="R13" i="9"/>
  <c r="R14" i="9"/>
  <c r="S150" i="16" s="1"/>
  <c r="R15" i="9"/>
  <c r="R16" i="9"/>
  <c r="T16" i="9" s="1"/>
  <c r="U152" i="16" s="1"/>
  <c r="R18" i="9"/>
  <c r="R19" i="9"/>
  <c r="R20" i="9"/>
  <c r="S156" i="16" s="1"/>
  <c r="S158" i="16"/>
  <c r="R24" i="9"/>
  <c r="T24" i="9" s="1"/>
  <c r="U160" i="16" s="1"/>
  <c r="R25" i="9"/>
  <c r="R27" i="9"/>
  <c r="R28" i="9"/>
  <c r="S164" i="16" s="1"/>
  <c r="R30" i="9"/>
  <c r="S166" i="16" s="1"/>
  <c r="R31" i="9"/>
  <c r="T32" i="9"/>
  <c r="U168" i="16" s="1"/>
  <c r="R33" i="9"/>
  <c r="R34" i="9"/>
  <c r="R35" i="9"/>
  <c r="S172" i="16"/>
  <c r="R38" i="9"/>
  <c r="S174" i="16" s="1"/>
  <c r="T40" i="9"/>
  <c r="U176" i="16" s="1"/>
  <c r="R41" i="9"/>
  <c r="R43" i="9"/>
  <c r="S180" i="16"/>
  <c r="R45" i="9"/>
  <c r="S182" i="16"/>
  <c r="R48" i="9"/>
  <c r="T48" i="9" s="1"/>
  <c r="U184" i="16" s="1"/>
  <c r="R49" i="9"/>
  <c r="R50" i="9"/>
  <c r="R52" i="9"/>
  <c r="S188" i="16" s="1"/>
  <c r="R54" i="9"/>
  <c r="S190" i="16" s="1"/>
  <c r="R55" i="9"/>
  <c r="R56" i="9"/>
  <c r="T56" i="9" s="1"/>
  <c r="U192" i="16" s="1"/>
  <c r="R4" i="9"/>
  <c r="R5" i="8"/>
  <c r="R6" i="8"/>
  <c r="R7" i="8"/>
  <c r="T8" i="8"/>
  <c r="U133" i="16" s="1"/>
  <c r="R9" i="8"/>
  <c r="R11" i="8"/>
  <c r="T11" i="8" s="1"/>
  <c r="U136" i="16" s="1"/>
  <c r="R12" i="8"/>
  <c r="T12" i="8" s="1"/>
  <c r="U137" i="16" s="1"/>
  <c r="R4" i="8"/>
  <c r="R6" i="7"/>
  <c r="R7" i="7"/>
  <c r="S114" i="16"/>
  <c r="R9" i="7"/>
  <c r="S117" i="16"/>
  <c r="R12" i="7"/>
  <c r="S118" i="16" s="1"/>
  <c r="R15" i="7"/>
  <c r="S121" i="16" s="1"/>
  <c r="R16" i="7"/>
  <c r="S122" i="16" s="1"/>
  <c r="R18" i="7"/>
  <c r="S125" i="16"/>
  <c r="R20" i="7"/>
  <c r="S126" i="16" s="1"/>
  <c r="R4" i="7"/>
  <c r="R50" i="6"/>
  <c r="R6" i="6"/>
  <c r="S35" i="16"/>
  <c r="R8" i="6"/>
  <c r="R9" i="6"/>
  <c r="S37" i="16" s="1"/>
  <c r="R10" i="6"/>
  <c r="R11" i="6"/>
  <c r="S41" i="16"/>
  <c r="R14" i="6"/>
  <c r="R15" i="6"/>
  <c r="S43" i="16" s="1"/>
  <c r="R16" i="6"/>
  <c r="S44" i="16" s="1"/>
  <c r="R17" i="6"/>
  <c r="S45" i="16" s="1"/>
  <c r="R18" i="6"/>
  <c r="R20" i="6"/>
  <c r="R21" i="6"/>
  <c r="S49" i="16" s="1"/>
  <c r="S51" i="16"/>
  <c r="R24" i="6"/>
  <c r="S52" i="16" s="1"/>
  <c r="R25" i="6"/>
  <c r="S53" i="16" s="1"/>
  <c r="R26" i="6"/>
  <c r="R29" i="6"/>
  <c r="S57" i="16" s="1"/>
  <c r="R30" i="6"/>
  <c r="S59" i="16"/>
  <c r="R32" i="6"/>
  <c r="S60" i="16" s="1"/>
  <c r="R33" i="6"/>
  <c r="S61" i="16" s="1"/>
  <c r="R35" i="6"/>
  <c r="R36" i="6"/>
  <c r="R37" i="6"/>
  <c r="S65" i="16" s="1"/>
  <c r="R39" i="6"/>
  <c r="S67" i="16" s="1"/>
  <c r="R40" i="6"/>
  <c r="S68" i="16" s="1"/>
  <c r="S69" i="16"/>
  <c r="R42" i="6"/>
  <c r="R44" i="6"/>
  <c r="R45" i="6"/>
  <c r="S73" i="16" s="1"/>
  <c r="R47" i="6"/>
  <c r="S75" i="16" s="1"/>
  <c r="R48" i="6"/>
  <c r="S76" i="16" s="1"/>
  <c r="R49" i="6"/>
  <c r="S77" i="16" s="1"/>
  <c r="R51" i="6"/>
  <c r="R53" i="6"/>
  <c r="S81" i="16" s="1"/>
  <c r="R54" i="6"/>
  <c r="R55" i="6"/>
  <c r="S83" i="16" s="1"/>
  <c r="R56" i="6"/>
  <c r="S84" i="16" s="1"/>
  <c r="R57" i="6"/>
  <c r="S85" i="16" s="1"/>
  <c r="R58" i="6"/>
  <c r="R59" i="6"/>
  <c r="R60" i="6"/>
  <c r="R61" i="6"/>
  <c r="S89" i="16" s="1"/>
  <c r="R63" i="6"/>
  <c r="S91" i="16" s="1"/>
  <c r="R64" i="6"/>
  <c r="S92" i="16" s="1"/>
  <c r="S93" i="16"/>
  <c r="R66" i="6"/>
  <c r="R67" i="6"/>
  <c r="R68" i="6"/>
  <c r="S97" i="16"/>
  <c r="R70" i="6"/>
  <c r="R71" i="6"/>
  <c r="S99" i="16" s="1"/>
  <c r="R72" i="6"/>
  <c r="S100" i="16" s="1"/>
  <c r="R73" i="6"/>
  <c r="S101" i="16" s="1"/>
  <c r="R75" i="6"/>
  <c r="R76" i="6"/>
  <c r="R77" i="6"/>
  <c r="S105" i="16" s="1"/>
  <c r="R78" i="6"/>
  <c r="R79" i="6"/>
  <c r="S107" i="16" s="1"/>
  <c r="R5" i="6"/>
  <c r="R5" i="2"/>
  <c r="R6" i="2"/>
  <c r="R7" i="2"/>
  <c r="R8" i="2"/>
  <c r="R11" i="2"/>
  <c r="R12" i="2"/>
  <c r="T12" i="2" s="1"/>
  <c r="U27" i="16" s="1"/>
  <c r="R14" i="2"/>
  <c r="R4" i="2"/>
  <c r="R8" i="1"/>
  <c r="R10" i="1"/>
  <c r="R11" i="1"/>
  <c r="T11" i="1" s="1"/>
  <c r="U11" i="16" s="1"/>
  <c r="R12" i="1"/>
  <c r="R13" i="1"/>
  <c r="S13" i="16" s="1"/>
  <c r="R14" i="1"/>
  <c r="R16" i="1"/>
  <c r="R5" i="1"/>
  <c r="S5" i="16" s="1"/>
  <c r="T349" i="16"/>
  <c r="S349" i="16"/>
  <c r="R349" i="16"/>
  <c r="Q349" i="16"/>
  <c r="P349" i="16"/>
  <c r="O349" i="16"/>
  <c r="N349" i="16"/>
  <c r="M349" i="16"/>
  <c r="L349" i="16"/>
  <c r="K349" i="16"/>
  <c r="J349" i="16"/>
  <c r="I349" i="16"/>
  <c r="H349" i="16"/>
  <c r="G349" i="16"/>
  <c r="F349" i="16"/>
  <c r="E349" i="16"/>
  <c r="D349" i="16"/>
  <c r="T348" i="16"/>
  <c r="S348" i="16"/>
  <c r="R348" i="16"/>
  <c r="Q348" i="16"/>
  <c r="P348" i="16"/>
  <c r="O348" i="16"/>
  <c r="N348" i="16"/>
  <c r="M348" i="16"/>
  <c r="L348" i="16"/>
  <c r="K348" i="16"/>
  <c r="J348" i="16"/>
  <c r="I348" i="16"/>
  <c r="H348" i="16"/>
  <c r="G348" i="16"/>
  <c r="F348" i="16"/>
  <c r="E348" i="16"/>
  <c r="D348" i="16"/>
  <c r="T347" i="16"/>
  <c r="S347" i="16"/>
  <c r="R347" i="16"/>
  <c r="Q347" i="16"/>
  <c r="P347" i="16"/>
  <c r="O347" i="16"/>
  <c r="N347" i="16"/>
  <c r="M347" i="16"/>
  <c r="L347" i="16"/>
  <c r="K347" i="16"/>
  <c r="J347" i="16"/>
  <c r="I347" i="16"/>
  <c r="H347" i="16"/>
  <c r="G347" i="16"/>
  <c r="F347" i="16"/>
  <c r="E347" i="16"/>
  <c r="D347" i="16"/>
  <c r="T346" i="16"/>
  <c r="S346" i="16"/>
  <c r="R346" i="16"/>
  <c r="Q346" i="16"/>
  <c r="P346" i="16"/>
  <c r="O346" i="16"/>
  <c r="N346" i="16"/>
  <c r="M346" i="16"/>
  <c r="L346" i="16"/>
  <c r="K346" i="16"/>
  <c r="J346" i="16"/>
  <c r="I346" i="16"/>
  <c r="H346" i="16"/>
  <c r="G346" i="16"/>
  <c r="F346" i="16"/>
  <c r="E346" i="16"/>
  <c r="D346" i="16"/>
  <c r="T345" i="16"/>
  <c r="S345" i="16"/>
  <c r="R345" i="16"/>
  <c r="Q345" i="16"/>
  <c r="P345" i="16"/>
  <c r="O345" i="16"/>
  <c r="N345" i="16"/>
  <c r="M345" i="16"/>
  <c r="L345" i="16"/>
  <c r="K345" i="16"/>
  <c r="J345" i="16"/>
  <c r="I345" i="16"/>
  <c r="H345" i="16"/>
  <c r="G345" i="16"/>
  <c r="F345" i="16"/>
  <c r="E345" i="16"/>
  <c r="D345" i="16"/>
  <c r="T344" i="16"/>
  <c r="S344" i="16"/>
  <c r="R344" i="16"/>
  <c r="Q344" i="16"/>
  <c r="P344" i="16"/>
  <c r="O344" i="16"/>
  <c r="N344" i="16"/>
  <c r="M344" i="16"/>
  <c r="L344" i="16"/>
  <c r="K344" i="16"/>
  <c r="J344" i="16"/>
  <c r="I344" i="16"/>
  <c r="H344" i="16"/>
  <c r="G344" i="16"/>
  <c r="F344" i="16"/>
  <c r="E344" i="16"/>
  <c r="D344" i="16"/>
  <c r="T343" i="16"/>
  <c r="S343" i="16"/>
  <c r="R343" i="16"/>
  <c r="Q343" i="16"/>
  <c r="P343" i="16"/>
  <c r="O343" i="16"/>
  <c r="N343" i="16"/>
  <c r="M343" i="16"/>
  <c r="L343" i="16"/>
  <c r="K343" i="16"/>
  <c r="J343" i="16"/>
  <c r="I343" i="16"/>
  <c r="H343" i="16"/>
  <c r="G343" i="16"/>
  <c r="F343" i="16"/>
  <c r="E343" i="16"/>
  <c r="D343" i="16"/>
  <c r="T342" i="16"/>
  <c r="S342" i="16"/>
  <c r="R342" i="16"/>
  <c r="Q342" i="16"/>
  <c r="P342" i="16"/>
  <c r="O342" i="16"/>
  <c r="N342" i="16"/>
  <c r="M342" i="16"/>
  <c r="L342" i="16"/>
  <c r="K342" i="16"/>
  <c r="J342" i="16"/>
  <c r="I342" i="16"/>
  <c r="H342" i="16"/>
  <c r="G342" i="16"/>
  <c r="F342" i="16"/>
  <c r="E342" i="16"/>
  <c r="D342" i="16"/>
  <c r="T341" i="16"/>
  <c r="S341" i="16"/>
  <c r="R341" i="16"/>
  <c r="Q341" i="16"/>
  <c r="P341" i="16"/>
  <c r="O341" i="16"/>
  <c r="N341" i="16"/>
  <c r="M341" i="16"/>
  <c r="L341" i="16"/>
  <c r="K341" i="16"/>
  <c r="J341" i="16"/>
  <c r="I341" i="16"/>
  <c r="H341" i="16"/>
  <c r="G341" i="16"/>
  <c r="F341" i="16"/>
  <c r="E341" i="16"/>
  <c r="D341" i="16"/>
  <c r="T340" i="16"/>
  <c r="S340" i="16"/>
  <c r="R340" i="16"/>
  <c r="Q340" i="16"/>
  <c r="P340" i="16"/>
  <c r="O340" i="16"/>
  <c r="N340" i="16"/>
  <c r="M340" i="16"/>
  <c r="L340" i="16"/>
  <c r="K340" i="16"/>
  <c r="J340" i="16"/>
  <c r="I340" i="16"/>
  <c r="H340" i="16"/>
  <c r="G340" i="16"/>
  <c r="F340" i="16"/>
  <c r="E340" i="16"/>
  <c r="D340" i="16"/>
  <c r="T339" i="16"/>
  <c r="S339" i="16"/>
  <c r="R339" i="16"/>
  <c r="Q339" i="16"/>
  <c r="P339" i="16"/>
  <c r="O339" i="16"/>
  <c r="N339" i="16"/>
  <c r="M339" i="16"/>
  <c r="L339" i="16"/>
  <c r="K339" i="16"/>
  <c r="J339" i="16"/>
  <c r="I339" i="16"/>
  <c r="H339" i="16"/>
  <c r="G339" i="16"/>
  <c r="F339" i="16"/>
  <c r="E339" i="16"/>
  <c r="D339" i="16"/>
  <c r="T338" i="16"/>
  <c r="S338" i="16"/>
  <c r="R338" i="16"/>
  <c r="Q338" i="16"/>
  <c r="P338" i="16"/>
  <c r="O338" i="16"/>
  <c r="N338" i="16"/>
  <c r="M338" i="16"/>
  <c r="L338" i="16"/>
  <c r="K338" i="16"/>
  <c r="J338" i="16"/>
  <c r="I338" i="16"/>
  <c r="H338" i="16"/>
  <c r="G338" i="16"/>
  <c r="F338" i="16"/>
  <c r="E338" i="16"/>
  <c r="D338" i="16"/>
  <c r="T337" i="16"/>
  <c r="S337" i="16"/>
  <c r="R337" i="16"/>
  <c r="Q337" i="16"/>
  <c r="P337" i="16"/>
  <c r="O337" i="16"/>
  <c r="N337" i="16"/>
  <c r="M337" i="16"/>
  <c r="L337" i="16"/>
  <c r="K337" i="16"/>
  <c r="J337" i="16"/>
  <c r="I337" i="16"/>
  <c r="H337" i="16"/>
  <c r="G337" i="16"/>
  <c r="F337" i="16"/>
  <c r="E337" i="16"/>
  <c r="D337" i="16"/>
  <c r="T336" i="16"/>
  <c r="S336" i="16"/>
  <c r="R336" i="16"/>
  <c r="Q336" i="16"/>
  <c r="P336" i="16"/>
  <c r="O336" i="16"/>
  <c r="N336" i="16"/>
  <c r="M336" i="16"/>
  <c r="L336" i="16"/>
  <c r="K336" i="16"/>
  <c r="J336" i="16"/>
  <c r="I336" i="16"/>
  <c r="H336" i="16"/>
  <c r="G336" i="16"/>
  <c r="F336" i="16"/>
  <c r="E336" i="16"/>
  <c r="D336" i="16"/>
  <c r="T335" i="16"/>
  <c r="S335" i="16"/>
  <c r="R335" i="16"/>
  <c r="Q335" i="16"/>
  <c r="P335" i="16"/>
  <c r="O335" i="16"/>
  <c r="N335" i="16"/>
  <c r="M335" i="16"/>
  <c r="L335" i="16"/>
  <c r="K335" i="16"/>
  <c r="J335" i="16"/>
  <c r="I335" i="16"/>
  <c r="H335" i="16"/>
  <c r="G335" i="16"/>
  <c r="F335" i="16"/>
  <c r="E335" i="16"/>
  <c r="D335" i="16"/>
  <c r="T334" i="16"/>
  <c r="S334" i="16"/>
  <c r="R334" i="16"/>
  <c r="Q334" i="16"/>
  <c r="P334" i="16"/>
  <c r="O334" i="16"/>
  <c r="N334" i="16"/>
  <c r="M334" i="16"/>
  <c r="L334" i="16"/>
  <c r="K334" i="16"/>
  <c r="J334" i="16"/>
  <c r="I334" i="16"/>
  <c r="H334" i="16"/>
  <c r="G334" i="16"/>
  <c r="F334" i="16"/>
  <c r="E334" i="16"/>
  <c r="D334" i="16"/>
  <c r="T333" i="16"/>
  <c r="S333" i="16"/>
  <c r="R333" i="16"/>
  <c r="Q333" i="16"/>
  <c r="P333" i="16"/>
  <c r="O333" i="16"/>
  <c r="N333" i="16"/>
  <c r="M333" i="16"/>
  <c r="L333" i="16"/>
  <c r="K333" i="16"/>
  <c r="J333" i="16"/>
  <c r="I333" i="16"/>
  <c r="H333" i="16"/>
  <c r="G333" i="16"/>
  <c r="F333" i="16"/>
  <c r="E333" i="16"/>
  <c r="D333" i="16"/>
  <c r="T332" i="16"/>
  <c r="S332" i="16"/>
  <c r="R332" i="16"/>
  <c r="Q332" i="16"/>
  <c r="P332" i="16"/>
  <c r="O332" i="16"/>
  <c r="N332" i="16"/>
  <c r="M332" i="16"/>
  <c r="L332" i="16"/>
  <c r="K332" i="16"/>
  <c r="J332" i="16"/>
  <c r="I332" i="16"/>
  <c r="H332" i="16"/>
  <c r="G332" i="16"/>
  <c r="F332" i="16"/>
  <c r="E332" i="16"/>
  <c r="D332" i="16"/>
  <c r="T331" i="16"/>
  <c r="S331" i="16"/>
  <c r="R331" i="16"/>
  <c r="Q331" i="16"/>
  <c r="P331" i="16"/>
  <c r="O331" i="16"/>
  <c r="N331" i="16"/>
  <c r="M331" i="16"/>
  <c r="L331" i="16"/>
  <c r="K331" i="16"/>
  <c r="J331" i="16"/>
  <c r="I331" i="16"/>
  <c r="H331" i="16"/>
  <c r="G331" i="16"/>
  <c r="F331" i="16"/>
  <c r="E331" i="16"/>
  <c r="D331" i="16"/>
  <c r="T330" i="16"/>
  <c r="S330" i="16"/>
  <c r="R330" i="16"/>
  <c r="Q330" i="16"/>
  <c r="P330" i="16"/>
  <c r="O330" i="16"/>
  <c r="N330" i="16"/>
  <c r="M330" i="16"/>
  <c r="L330" i="16"/>
  <c r="K330" i="16"/>
  <c r="J330" i="16"/>
  <c r="I330" i="16"/>
  <c r="H330" i="16"/>
  <c r="G330" i="16"/>
  <c r="F330" i="16"/>
  <c r="E330" i="16"/>
  <c r="D330" i="16"/>
  <c r="T329" i="16"/>
  <c r="S329" i="16"/>
  <c r="R329" i="16"/>
  <c r="Q329" i="16"/>
  <c r="P329" i="16"/>
  <c r="O329" i="16"/>
  <c r="N329" i="16"/>
  <c r="M329" i="16"/>
  <c r="L329" i="16"/>
  <c r="K329" i="16"/>
  <c r="J329" i="16"/>
  <c r="I329" i="16"/>
  <c r="H329" i="16"/>
  <c r="G329" i="16"/>
  <c r="F329" i="16"/>
  <c r="E329" i="16"/>
  <c r="D329" i="16"/>
  <c r="T328" i="16"/>
  <c r="S328" i="16"/>
  <c r="R328" i="16"/>
  <c r="Q328" i="16"/>
  <c r="P328" i="16"/>
  <c r="O328" i="16"/>
  <c r="N328" i="16"/>
  <c r="M328" i="16"/>
  <c r="L328" i="16"/>
  <c r="K328" i="16"/>
  <c r="J328" i="16"/>
  <c r="I328" i="16"/>
  <c r="H328" i="16"/>
  <c r="G328" i="16"/>
  <c r="F328" i="16"/>
  <c r="E328" i="16"/>
  <c r="D328" i="16"/>
  <c r="T327" i="16"/>
  <c r="S327" i="16"/>
  <c r="R327" i="16"/>
  <c r="Q327" i="16"/>
  <c r="P327" i="16"/>
  <c r="O327" i="16"/>
  <c r="N327" i="16"/>
  <c r="M327" i="16"/>
  <c r="L327" i="16"/>
  <c r="K327" i="16"/>
  <c r="J327" i="16"/>
  <c r="I327" i="16"/>
  <c r="H327" i="16"/>
  <c r="G327" i="16"/>
  <c r="F327" i="16"/>
  <c r="E327" i="16"/>
  <c r="D327" i="16"/>
  <c r="T326" i="16"/>
  <c r="S326" i="16"/>
  <c r="R326" i="16"/>
  <c r="Q326" i="16"/>
  <c r="P326" i="16"/>
  <c r="O326" i="16"/>
  <c r="N326" i="16"/>
  <c r="M326" i="16"/>
  <c r="L326" i="16"/>
  <c r="K326" i="16"/>
  <c r="J326" i="16"/>
  <c r="I326" i="16"/>
  <c r="H326" i="16"/>
  <c r="G326" i="16"/>
  <c r="F326" i="16"/>
  <c r="E326" i="16"/>
  <c r="D326" i="16"/>
  <c r="T325" i="16"/>
  <c r="S325" i="16"/>
  <c r="R325" i="16"/>
  <c r="Q325" i="16"/>
  <c r="P325" i="16"/>
  <c r="O325" i="16"/>
  <c r="N325" i="16"/>
  <c r="M325" i="16"/>
  <c r="L325" i="16"/>
  <c r="K325" i="16"/>
  <c r="J325" i="16"/>
  <c r="I325" i="16"/>
  <c r="H325" i="16"/>
  <c r="G325" i="16"/>
  <c r="F325" i="16"/>
  <c r="E325" i="16"/>
  <c r="D325" i="16"/>
  <c r="T324" i="16"/>
  <c r="S324" i="16"/>
  <c r="R324" i="16"/>
  <c r="Q324" i="16"/>
  <c r="P324" i="16"/>
  <c r="O324" i="16"/>
  <c r="N324" i="16"/>
  <c r="M324" i="16"/>
  <c r="L324" i="16"/>
  <c r="K324" i="16"/>
  <c r="J324" i="16"/>
  <c r="I324" i="16"/>
  <c r="H324" i="16"/>
  <c r="G324" i="16"/>
  <c r="F324" i="16"/>
  <c r="E324" i="16"/>
  <c r="D324" i="16"/>
  <c r="T323" i="16"/>
  <c r="S323" i="16"/>
  <c r="R323" i="16"/>
  <c r="Q323" i="16"/>
  <c r="P323" i="16"/>
  <c r="O323" i="16"/>
  <c r="N323" i="16"/>
  <c r="M323" i="16"/>
  <c r="L323" i="16"/>
  <c r="K323" i="16"/>
  <c r="J323" i="16"/>
  <c r="I323" i="16"/>
  <c r="H323" i="16"/>
  <c r="G323" i="16"/>
  <c r="F323" i="16"/>
  <c r="E323" i="16"/>
  <c r="D323" i="16"/>
  <c r="T322" i="16"/>
  <c r="S322" i="16"/>
  <c r="R322" i="16"/>
  <c r="Q322" i="16"/>
  <c r="P322" i="16"/>
  <c r="O322" i="16"/>
  <c r="N322" i="16"/>
  <c r="M322" i="16"/>
  <c r="L322" i="16"/>
  <c r="K322" i="16"/>
  <c r="J322" i="16"/>
  <c r="I322" i="16"/>
  <c r="H322" i="16"/>
  <c r="G322" i="16"/>
  <c r="F322" i="16"/>
  <c r="E322" i="16"/>
  <c r="D322" i="16"/>
  <c r="T321" i="16"/>
  <c r="S321" i="16"/>
  <c r="R321" i="16"/>
  <c r="Q321" i="16"/>
  <c r="P321" i="16"/>
  <c r="O321" i="16"/>
  <c r="N321" i="16"/>
  <c r="M321" i="16"/>
  <c r="L321" i="16"/>
  <c r="K321" i="16"/>
  <c r="J321" i="16"/>
  <c r="I321" i="16"/>
  <c r="H321" i="16"/>
  <c r="G321" i="16"/>
  <c r="F321" i="16"/>
  <c r="E321" i="16"/>
  <c r="D321" i="16"/>
  <c r="T320" i="16"/>
  <c r="S320" i="16"/>
  <c r="R320" i="16"/>
  <c r="Q320" i="16"/>
  <c r="P320" i="16"/>
  <c r="O320" i="16"/>
  <c r="N320" i="16"/>
  <c r="M320" i="16"/>
  <c r="L320" i="16"/>
  <c r="K320" i="16"/>
  <c r="J320" i="16"/>
  <c r="I320" i="16"/>
  <c r="H320" i="16"/>
  <c r="G320" i="16"/>
  <c r="F320" i="16"/>
  <c r="E320" i="16"/>
  <c r="D320" i="16"/>
  <c r="T319" i="16"/>
  <c r="S319" i="16"/>
  <c r="R319" i="16"/>
  <c r="Q319" i="16"/>
  <c r="P319" i="16"/>
  <c r="O319" i="16"/>
  <c r="N319" i="16"/>
  <c r="M319" i="16"/>
  <c r="L319" i="16"/>
  <c r="K319" i="16"/>
  <c r="J319" i="16"/>
  <c r="I319" i="16"/>
  <c r="H319" i="16"/>
  <c r="G319" i="16"/>
  <c r="F319" i="16"/>
  <c r="E319" i="16"/>
  <c r="D319" i="16"/>
  <c r="T318" i="16"/>
  <c r="S318" i="16"/>
  <c r="R318" i="16"/>
  <c r="Q318" i="16"/>
  <c r="P318" i="16"/>
  <c r="O318" i="16"/>
  <c r="N318" i="16"/>
  <c r="M318" i="16"/>
  <c r="L318" i="16"/>
  <c r="K318" i="16"/>
  <c r="J318" i="16"/>
  <c r="I318" i="16"/>
  <c r="H318" i="16"/>
  <c r="G318" i="16"/>
  <c r="F318" i="16"/>
  <c r="E318" i="16"/>
  <c r="D318" i="16"/>
  <c r="T317" i="16"/>
  <c r="S317" i="16"/>
  <c r="R317" i="16"/>
  <c r="Q317" i="16"/>
  <c r="P317" i="16"/>
  <c r="O317" i="16"/>
  <c r="N317" i="16"/>
  <c r="M317" i="16"/>
  <c r="L317" i="16"/>
  <c r="K317" i="16"/>
  <c r="J317" i="16"/>
  <c r="I317" i="16"/>
  <c r="H317" i="16"/>
  <c r="G317" i="16"/>
  <c r="F317" i="16"/>
  <c r="E317" i="16"/>
  <c r="D317" i="16"/>
  <c r="T316" i="16"/>
  <c r="S316" i="16"/>
  <c r="R316" i="16"/>
  <c r="Q316" i="16"/>
  <c r="P316" i="16"/>
  <c r="O316" i="16"/>
  <c r="N316" i="16"/>
  <c r="M316" i="16"/>
  <c r="L316" i="16"/>
  <c r="K316" i="16"/>
  <c r="J316" i="16"/>
  <c r="I316" i="16"/>
  <c r="H316" i="16"/>
  <c r="G316" i="16"/>
  <c r="F316" i="16"/>
  <c r="E316" i="16"/>
  <c r="D316" i="16"/>
  <c r="T315" i="16"/>
  <c r="S315" i="16"/>
  <c r="R315" i="16"/>
  <c r="Q315" i="16"/>
  <c r="P315" i="16"/>
  <c r="O315" i="16"/>
  <c r="N315" i="16"/>
  <c r="M315" i="16"/>
  <c r="L315" i="16"/>
  <c r="K315" i="16"/>
  <c r="J315" i="16"/>
  <c r="I315" i="16"/>
  <c r="H315" i="16"/>
  <c r="G315" i="16"/>
  <c r="F315" i="16"/>
  <c r="E315" i="16"/>
  <c r="D315" i="16"/>
  <c r="T314" i="16"/>
  <c r="S314" i="16"/>
  <c r="R314" i="16"/>
  <c r="Q314" i="16"/>
  <c r="P314" i="16"/>
  <c r="O314" i="16"/>
  <c r="N314" i="16"/>
  <c r="M314" i="16"/>
  <c r="L314" i="16"/>
  <c r="K314" i="16"/>
  <c r="J314" i="16"/>
  <c r="I314" i="16"/>
  <c r="H314" i="16"/>
  <c r="G314" i="16"/>
  <c r="F314" i="16"/>
  <c r="E314" i="16"/>
  <c r="D314" i="16"/>
  <c r="T313" i="16"/>
  <c r="S313" i="16"/>
  <c r="R313" i="16"/>
  <c r="Q313" i="16"/>
  <c r="P313" i="16"/>
  <c r="O313" i="16"/>
  <c r="N313" i="16"/>
  <c r="M313" i="16"/>
  <c r="L313" i="16"/>
  <c r="K313" i="16"/>
  <c r="J313" i="16"/>
  <c r="I313" i="16"/>
  <c r="H313" i="16"/>
  <c r="G313" i="16"/>
  <c r="F313" i="16"/>
  <c r="E313" i="16"/>
  <c r="D313" i="16"/>
  <c r="T312" i="16"/>
  <c r="S312" i="16"/>
  <c r="R312" i="16"/>
  <c r="Q312" i="16"/>
  <c r="P312" i="16"/>
  <c r="O312" i="16"/>
  <c r="N312" i="16"/>
  <c r="M312" i="16"/>
  <c r="L312" i="16"/>
  <c r="K312" i="16"/>
  <c r="J312" i="16"/>
  <c r="I312" i="16"/>
  <c r="H312" i="16"/>
  <c r="G312" i="16"/>
  <c r="F312" i="16"/>
  <c r="E312" i="16"/>
  <c r="D312" i="16"/>
  <c r="T311" i="16"/>
  <c r="S311" i="16"/>
  <c r="R311" i="16"/>
  <c r="Q311" i="16"/>
  <c r="P311" i="16"/>
  <c r="O311" i="16"/>
  <c r="N311" i="16"/>
  <c r="M311" i="16"/>
  <c r="L311" i="16"/>
  <c r="K311" i="16"/>
  <c r="J311" i="16"/>
  <c r="I311" i="16"/>
  <c r="H311" i="16"/>
  <c r="G311" i="16"/>
  <c r="F311" i="16"/>
  <c r="E311" i="16"/>
  <c r="D311" i="16"/>
  <c r="T310" i="16"/>
  <c r="S310" i="16"/>
  <c r="R310" i="16"/>
  <c r="Q310" i="16"/>
  <c r="P310" i="16"/>
  <c r="O310" i="16"/>
  <c r="N310" i="16"/>
  <c r="M310" i="16"/>
  <c r="L310" i="16"/>
  <c r="K310" i="16"/>
  <c r="J310" i="16"/>
  <c r="I310" i="16"/>
  <c r="H310" i="16"/>
  <c r="G310" i="16"/>
  <c r="F310" i="16"/>
  <c r="E310" i="16"/>
  <c r="D310" i="16"/>
  <c r="T309" i="16"/>
  <c r="S309" i="16"/>
  <c r="R309" i="16"/>
  <c r="Q309" i="16"/>
  <c r="P309" i="16"/>
  <c r="O309" i="16"/>
  <c r="N309" i="16"/>
  <c r="M309" i="16"/>
  <c r="L309" i="16"/>
  <c r="K309" i="16"/>
  <c r="J309" i="16"/>
  <c r="I309" i="16"/>
  <c r="H309" i="16"/>
  <c r="G309" i="16"/>
  <c r="F309" i="16"/>
  <c r="E309" i="16"/>
  <c r="D309" i="16"/>
  <c r="T308" i="16"/>
  <c r="S308" i="16"/>
  <c r="R308" i="16"/>
  <c r="Q308" i="16"/>
  <c r="P308" i="16"/>
  <c r="O308" i="16"/>
  <c r="N308" i="16"/>
  <c r="M308" i="16"/>
  <c r="L308" i="16"/>
  <c r="K308" i="16"/>
  <c r="J308" i="16"/>
  <c r="I308" i="16"/>
  <c r="H308" i="16"/>
  <c r="G308" i="16"/>
  <c r="F308" i="16"/>
  <c r="E308" i="16"/>
  <c r="D308" i="16"/>
  <c r="T307" i="16"/>
  <c r="S307" i="16"/>
  <c r="R307" i="16"/>
  <c r="Q307" i="16"/>
  <c r="P307" i="16"/>
  <c r="O307" i="16"/>
  <c r="N307" i="16"/>
  <c r="M307" i="16"/>
  <c r="L307" i="16"/>
  <c r="K307" i="16"/>
  <c r="J307" i="16"/>
  <c r="I307" i="16"/>
  <c r="H307" i="16"/>
  <c r="G307" i="16"/>
  <c r="F307" i="16"/>
  <c r="E307" i="16"/>
  <c r="D307" i="16"/>
  <c r="T306" i="16"/>
  <c r="S306" i="16"/>
  <c r="R306" i="16"/>
  <c r="Q306" i="16"/>
  <c r="P306" i="16"/>
  <c r="O306" i="16"/>
  <c r="N306" i="16"/>
  <c r="M306" i="16"/>
  <c r="L306" i="16"/>
  <c r="K306" i="16"/>
  <c r="J306" i="16"/>
  <c r="I306" i="16"/>
  <c r="H306" i="16"/>
  <c r="G306" i="16"/>
  <c r="F306" i="16"/>
  <c r="E306" i="16"/>
  <c r="D306" i="16"/>
  <c r="T305" i="16"/>
  <c r="S305" i="16"/>
  <c r="R305" i="16"/>
  <c r="Q305" i="16"/>
  <c r="P305" i="16"/>
  <c r="O305" i="16"/>
  <c r="N305" i="16"/>
  <c r="M305" i="16"/>
  <c r="L305" i="16"/>
  <c r="K305" i="16"/>
  <c r="J305" i="16"/>
  <c r="I305" i="16"/>
  <c r="H305" i="16"/>
  <c r="G305" i="16"/>
  <c r="F305" i="16"/>
  <c r="E305" i="16"/>
  <c r="D305" i="16"/>
  <c r="T304" i="16"/>
  <c r="S304" i="16"/>
  <c r="R304" i="16"/>
  <c r="Q304" i="16"/>
  <c r="P304" i="16"/>
  <c r="O304" i="16"/>
  <c r="N304" i="16"/>
  <c r="M304" i="16"/>
  <c r="L304" i="16"/>
  <c r="K304" i="16"/>
  <c r="J304" i="16"/>
  <c r="I304" i="16"/>
  <c r="H304" i="16"/>
  <c r="G304" i="16"/>
  <c r="F304" i="16"/>
  <c r="E304" i="16"/>
  <c r="D304" i="16"/>
  <c r="T303" i="16"/>
  <c r="S303" i="16"/>
  <c r="R303" i="16"/>
  <c r="Q303" i="16"/>
  <c r="P303" i="16"/>
  <c r="O303" i="16"/>
  <c r="N303" i="16"/>
  <c r="M303" i="16"/>
  <c r="L303" i="16"/>
  <c r="K303" i="16"/>
  <c r="J303" i="16"/>
  <c r="I303" i="16"/>
  <c r="H303" i="16"/>
  <c r="G303" i="16"/>
  <c r="F303" i="16"/>
  <c r="E303" i="16"/>
  <c r="D303" i="16"/>
  <c r="T302" i="16"/>
  <c r="S302" i="16"/>
  <c r="R302" i="16"/>
  <c r="Q302" i="16"/>
  <c r="P302" i="16"/>
  <c r="O302" i="16"/>
  <c r="N302" i="16"/>
  <c r="M302" i="16"/>
  <c r="L302" i="16"/>
  <c r="K302" i="16"/>
  <c r="J302" i="16"/>
  <c r="I302" i="16"/>
  <c r="H302" i="16"/>
  <c r="G302" i="16"/>
  <c r="F302" i="16"/>
  <c r="E302" i="16"/>
  <c r="D302" i="16"/>
  <c r="T301" i="16"/>
  <c r="S301" i="16"/>
  <c r="R301" i="16"/>
  <c r="Q301" i="16"/>
  <c r="P301" i="16"/>
  <c r="O301" i="16"/>
  <c r="N301" i="16"/>
  <c r="M301" i="16"/>
  <c r="L301" i="16"/>
  <c r="K301" i="16"/>
  <c r="J301" i="16"/>
  <c r="I301" i="16"/>
  <c r="H301" i="16"/>
  <c r="G301" i="16"/>
  <c r="F301" i="16"/>
  <c r="E301" i="16"/>
  <c r="D301" i="16"/>
  <c r="T300" i="16"/>
  <c r="S300" i="16"/>
  <c r="R300" i="16"/>
  <c r="Q300" i="16"/>
  <c r="P300" i="16"/>
  <c r="O300" i="16"/>
  <c r="N300" i="16"/>
  <c r="M300" i="16"/>
  <c r="L300" i="16"/>
  <c r="K300" i="16"/>
  <c r="J300" i="16"/>
  <c r="I300" i="16"/>
  <c r="H300" i="16"/>
  <c r="G300" i="16"/>
  <c r="F300" i="16"/>
  <c r="E300" i="16"/>
  <c r="D300" i="16"/>
  <c r="T299" i="16"/>
  <c r="S299" i="16"/>
  <c r="R299" i="16"/>
  <c r="Q299" i="16"/>
  <c r="P299" i="16"/>
  <c r="O299" i="16"/>
  <c r="N299" i="16"/>
  <c r="M299" i="16"/>
  <c r="L299" i="16"/>
  <c r="K299" i="16"/>
  <c r="J299" i="16"/>
  <c r="I299" i="16"/>
  <c r="H299" i="16"/>
  <c r="G299" i="16"/>
  <c r="F299" i="16"/>
  <c r="E299" i="16"/>
  <c r="D299" i="16"/>
  <c r="T298" i="16"/>
  <c r="R298" i="16"/>
  <c r="Q298" i="16"/>
  <c r="P298" i="16"/>
  <c r="O298" i="16"/>
  <c r="N298" i="16"/>
  <c r="M298" i="16"/>
  <c r="L298" i="16"/>
  <c r="K298" i="16"/>
  <c r="J298" i="16"/>
  <c r="I298" i="16"/>
  <c r="H298" i="16"/>
  <c r="G298" i="16"/>
  <c r="F298" i="16"/>
  <c r="E298" i="16"/>
  <c r="D298" i="16"/>
  <c r="T297" i="16"/>
  <c r="R297" i="16"/>
  <c r="Q297" i="16"/>
  <c r="P297" i="16"/>
  <c r="O297" i="16"/>
  <c r="N297" i="16"/>
  <c r="M297" i="16"/>
  <c r="L297" i="16"/>
  <c r="K297" i="16"/>
  <c r="J297" i="16"/>
  <c r="I297" i="16"/>
  <c r="H297" i="16"/>
  <c r="G297" i="16"/>
  <c r="F297" i="16"/>
  <c r="E297" i="16"/>
  <c r="D297" i="16"/>
  <c r="T296" i="16"/>
  <c r="S296" i="16"/>
  <c r="R296" i="16"/>
  <c r="Q296" i="16"/>
  <c r="P296" i="16"/>
  <c r="O296" i="16"/>
  <c r="N296" i="16"/>
  <c r="M296" i="16"/>
  <c r="L296" i="16"/>
  <c r="K296" i="16"/>
  <c r="J296" i="16"/>
  <c r="I296" i="16"/>
  <c r="H296" i="16"/>
  <c r="G296" i="16"/>
  <c r="F296" i="16"/>
  <c r="E296" i="16"/>
  <c r="D296" i="16"/>
  <c r="T295" i="16"/>
  <c r="R295" i="16"/>
  <c r="Q295" i="16"/>
  <c r="P295" i="16"/>
  <c r="O295" i="16"/>
  <c r="N295" i="16"/>
  <c r="M295" i="16"/>
  <c r="L295" i="16"/>
  <c r="K295" i="16"/>
  <c r="J295" i="16"/>
  <c r="I295" i="16"/>
  <c r="H295" i="16"/>
  <c r="G295" i="16"/>
  <c r="F295" i="16"/>
  <c r="E295" i="16"/>
  <c r="D295" i="16"/>
  <c r="T294" i="16"/>
  <c r="S294" i="16"/>
  <c r="R294" i="16"/>
  <c r="Q294" i="16"/>
  <c r="P294" i="16"/>
  <c r="O294" i="16"/>
  <c r="N294" i="16"/>
  <c r="M294" i="16"/>
  <c r="L294" i="16"/>
  <c r="K294" i="16"/>
  <c r="J294" i="16"/>
  <c r="I294" i="16"/>
  <c r="H294" i="16"/>
  <c r="G294" i="16"/>
  <c r="F294" i="16"/>
  <c r="E294" i="16"/>
  <c r="D294" i="16"/>
  <c r="T293" i="16"/>
  <c r="S293" i="16"/>
  <c r="R293" i="16"/>
  <c r="Q293" i="16"/>
  <c r="P293" i="16"/>
  <c r="O293" i="16"/>
  <c r="N293" i="16"/>
  <c r="M293" i="16"/>
  <c r="L293" i="16"/>
  <c r="K293" i="16"/>
  <c r="J293" i="16"/>
  <c r="I293" i="16"/>
  <c r="H293" i="16"/>
  <c r="G293" i="16"/>
  <c r="F293" i="16"/>
  <c r="E293" i="16"/>
  <c r="D293" i="16"/>
  <c r="T292" i="16"/>
  <c r="S292" i="16"/>
  <c r="R292" i="16"/>
  <c r="Q292" i="16"/>
  <c r="P292" i="16"/>
  <c r="O292" i="16"/>
  <c r="N292" i="16"/>
  <c r="M292" i="16"/>
  <c r="L292" i="16"/>
  <c r="K292" i="16"/>
  <c r="J292" i="16"/>
  <c r="I292" i="16"/>
  <c r="H292" i="16"/>
  <c r="G292" i="16"/>
  <c r="F292" i="16"/>
  <c r="E292" i="16"/>
  <c r="D292" i="16"/>
  <c r="T291" i="16"/>
  <c r="S291" i="16"/>
  <c r="R291" i="16"/>
  <c r="Q291" i="16"/>
  <c r="P291" i="16"/>
  <c r="O291" i="16"/>
  <c r="N291" i="16"/>
  <c r="M291" i="16"/>
  <c r="L291" i="16"/>
  <c r="K291" i="16"/>
  <c r="J291" i="16"/>
  <c r="I291" i="16"/>
  <c r="H291" i="16"/>
  <c r="G291" i="16"/>
  <c r="F291" i="16"/>
  <c r="E291" i="16"/>
  <c r="D291" i="16"/>
  <c r="T290" i="16"/>
  <c r="R290" i="16"/>
  <c r="Q290" i="16"/>
  <c r="P290" i="16"/>
  <c r="O290" i="16"/>
  <c r="N290" i="16"/>
  <c r="M290" i="16"/>
  <c r="L290" i="16"/>
  <c r="K290" i="16"/>
  <c r="J290" i="16"/>
  <c r="I290" i="16"/>
  <c r="H290" i="16"/>
  <c r="G290" i="16"/>
  <c r="F290" i="16"/>
  <c r="E290" i="16"/>
  <c r="D290" i="16"/>
  <c r="T289" i="16"/>
  <c r="R289" i="16"/>
  <c r="Q289" i="16"/>
  <c r="P289" i="16"/>
  <c r="O289" i="16"/>
  <c r="N289" i="16"/>
  <c r="M289" i="16"/>
  <c r="L289" i="16"/>
  <c r="K289" i="16"/>
  <c r="J289" i="16"/>
  <c r="I289" i="16"/>
  <c r="H289" i="16"/>
  <c r="G289" i="16"/>
  <c r="F289" i="16"/>
  <c r="E289" i="16"/>
  <c r="D289" i="16"/>
  <c r="T288" i="16"/>
  <c r="S288" i="16"/>
  <c r="R288" i="16"/>
  <c r="Q288" i="16"/>
  <c r="P288" i="16"/>
  <c r="O288" i="16"/>
  <c r="N288" i="16"/>
  <c r="M288" i="16"/>
  <c r="L288" i="16"/>
  <c r="K288" i="16"/>
  <c r="J288" i="16"/>
  <c r="I288" i="16"/>
  <c r="H288" i="16"/>
  <c r="G288" i="16"/>
  <c r="F288" i="16"/>
  <c r="E288" i="16"/>
  <c r="D288" i="16"/>
  <c r="T287" i="16"/>
  <c r="R287" i="16"/>
  <c r="Q287" i="16"/>
  <c r="P287" i="16"/>
  <c r="O287" i="16"/>
  <c r="N287" i="16"/>
  <c r="M287" i="16"/>
  <c r="L287" i="16"/>
  <c r="K287" i="16"/>
  <c r="J287" i="16"/>
  <c r="I287" i="16"/>
  <c r="H287" i="16"/>
  <c r="G287" i="16"/>
  <c r="F287" i="16"/>
  <c r="E287" i="16"/>
  <c r="D287" i="16"/>
  <c r="T286" i="16"/>
  <c r="S286" i="16"/>
  <c r="R286" i="16"/>
  <c r="Q286" i="16"/>
  <c r="P286" i="16"/>
  <c r="O286" i="16"/>
  <c r="N286" i="16"/>
  <c r="M286" i="16"/>
  <c r="L286" i="16"/>
  <c r="K286" i="16"/>
  <c r="J286" i="16"/>
  <c r="I286" i="16"/>
  <c r="H286" i="16"/>
  <c r="G286" i="16"/>
  <c r="F286" i="16"/>
  <c r="E286" i="16"/>
  <c r="D286" i="16"/>
  <c r="T285" i="16"/>
  <c r="S285" i="16"/>
  <c r="R285" i="16"/>
  <c r="Q285" i="16"/>
  <c r="P285" i="16"/>
  <c r="O285" i="16"/>
  <c r="N285" i="16"/>
  <c r="M285" i="16"/>
  <c r="L285" i="16"/>
  <c r="K285" i="16"/>
  <c r="J285" i="16"/>
  <c r="I285" i="16"/>
  <c r="H285" i="16"/>
  <c r="G285" i="16"/>
  <c r="F285" i="16"/>
  <c r="E285" i="16"/>
  <c r="D285" i="16"/>
  <c r="T284" i="16"/>
  <c r="S284" i="16"/>
  <c r="R284" i="16"/>
  <c r="Q284" i="16"/>
  <c r="P284" i="16"/>
  <c r="O284" i="16"/>
  <c r="N284" i="16"/>
  <c r="M284" i="16"/>
  <c r="L284" i="16"/>
  <c r="K284" i="16"/>
  <c r="J284" i="16"/>
  <c r="I284" i="16"/>
  <c r="H284" i="16"/>
  <c r="G284" i="16"/>
  <c r="F284" i="16"/>
  <c r="E284" i="16"/>
  <c r="D284" i="16"/>
  <c r="T283" i="16"/>
  <c r="S283" i="16"/>
  <c r="R283" i="16"/>
  <c r="Q283" i="16"/>
  <c r="P283" i="16"/>
  <c r="O283" i="16"/>
  <c r="N283" i="16"/>
  <c r="M283" i="16"/>
  <c r="L283" i="16"/>
  <c r="K283" i="16"/>
  <c r="J283" i="16"/>
  <c r="I283" i="16"/>
  <c r="H283" i="16"/>
  <c r="G283" i="16"/>
  <c r="F283" i="16"/>
  <c r="E283" i="16"/>
  <c r="D283" i="16"/>
  <c r="T282" i="16"/>
  <c r="R282" i="16"/>
  <c r="Q282" i="16"/>
  <c r="P282" i="16"/>
  <c r="O282" i="16"/>
  <c r="N282" i="16"/>
  <c r="M282" i="16"/>
  <c r="L282" i="16"/>
  <c r="K282" i="16"/>
  <c r="J282" i="16"/>
  <c r="I282" i="16"/>
  <c r="H282" i="16"/>
  <c r="G282" i="16"/>
  <c r="F282" i="16"/>
  <c r="E282" i="16"/>
  <c r="D282" i="16"/>
  <c r="T281" i="16"/>
  <c r="R281" i="16"/>
  <c r="Q281" i="16"/>
  <c r="P281" i="16"/>
  <c r="O281" i="16"/>
  <c r="N281" i="16"/>
  <c r="M281" i="16"/>
  <c r="L281" i="16"/>
  <c r="K281" i="16"/>
  <c r="J281" i="16"/>
  <c r="I281" i="16"/>
  <c r="H281" i="16"/>
  <c r="G281" i="16"/>
  <c r="F281" i="16"/>
  <c r="E281" i="16"/>
  <c r="D281" i="16"/>
  <c r="T280" i="16"/>
  <c r="S280" i="16"/>
  <c r="R280" i="16"/>
  <c r="Q280" i="16"/>
  <c r="P280" i="16"/>
  <c r="O280" i="16"/>
  <c r="N280" i="16"/>
  <c r="M280" i="16"/>
  <c r="L280" i="16"/>
  <c r="K280" i="16"/>
  <c r="J280" i="16"/>
  <c r="I280" i="16"/>
  <c r="H280" i="16"/>
  <c r="G280" i="16"/>
  <c r="F280" i="16"/>
  <c r="E280" i="16"/>
  <c r="D280" i="16"/>
  <c r="T279" i="16"/>
  <c r="R279" i="16"/>
  <c r="Q279" i="16"/>
  <c r="P279" i="16"/>
  <c r="O279" i="16"/>
  <c r="N279" i="16"/>
  <c r="M279" i="16"/>
  <c r="L279" i="16"/>
  <c r="K279" i="16"/>
  <c r="J279" i="16"/>
  <c r="I279" i="16"/>
  <c r="H279" i="16"/>
  <c r="G279" i="16"/>
  <c r="F279" i="16"/>
  <c r="E279" i="16"/>
  <c r="D279" i="16"/>
  <c r="T278" i="16"/>
  <c r="S278" i="16"/>
  <c r="R278" i="16"/>
  <c r="Q278" i="16"/>
  <c r="P278" i="16"/>
  <c r="O278" i="16"/>
  <c r="N278" i="16"/>
  <c r="M278" i="16"/>
  <c r="L278" i="16"/>
  <c r="K278" i="16"/>
  <c r="J278" i="16"/>
  <c r="I278" i="16"/>
  <c r="H278" i="16"/>
  <c r="G278" i="16"/>
  <c r="F278" i="16"/>
  <c r="E278" i="16"/>
  <c r="D278" i="16"/>
  <c r="T277" i="16"/>
  <c r="S277" i="16"/>
  <c r="R277" i="16"/>
  <c r="Q277" i="16"/>
  <c r="P277" i="16"/>
  <c r="O277" i="16"/>
  <c r="N277" i="16"/>
  <c r="M277" i="16"/>
  <c r="L277" i="16"/>
  <c r="K277" i="16"/>
  <c r="J277" i="16"/>
  <c r="I277" i="16"/>
  <c r="H277" i="16"/>
  <c r="G277" i="16"/>
  <c r="F277" i="16"/>
  <c r="E277" i="16"/>
  <c r="D277" i="16"/>
  <c r="T276" i="16"/>
  <c r="S276" i="16"/>
  <c r="R276" i="16"/>
  <c r="Q276" i="16"/>
  <c r="P276" i="16"/>
  <c r="O276" i="16"/>
  <c r="N276" i="16"/>
  <c r="M276" i="16"/>
  <c r="L276" i="16"/>
  <c r="K276" i="16"/>
  <c r="J276" i="16"/>
  <c r="I276" i="16"/>
  <c r="H276" i="16"/>
  <c r="G276" i="16"/>
  <c r="F276" i="16"/>
  <c r="E276" i="16"/>
  <c r="D276" i="16"/>
  <c r="T275" i="16"/>
  <c r="S275" i="16"/>
  <c r="R275" i="16"/>
  <c r="Q275" i="16"/>
  <c r="P275" i="16"/>
  <c r="O275" i="16"/>
  <c r="N275" i="16"/>
  <c r="M275" i="16"/>
  <c r="L275" i="16"/>
  <c r="K275" i="16"/>
  <c r="J275" i="16"/>
  <c r="I275" i="16"/>
  <c r="H275" i="16"/>
  <c r="G275" i="16"/>
  <c r="F275" i="16"/>
  <c r="E275" i="16"/>
  <c r="D275" i="16"/>
  <c r="T274" i="16"/>
  <c r="R274" i="16"/>
  <c r="Q274" i="16"/>
  <c r="P274" i="16"/>
  <c r="O274" i="16"/>
  <c r="N274" i="16"/>
  <c r="M274" i="16"/>
  <c r="L274" i="16"/>
  <c r="K274" i="16"/>
  <c r="J274" i="16"/>
  <c r="I274" i="16"/>
  <c r="H274" i="16"/>
  <c r="G274" i="16"/>
  <c r="F274" i="16"/>
  <c r="E274" i="16"/>
  <c r="D274" i="16"/>
  <c r="T273" i="16"/>
  <c r="R273" i="16"/>
  <c r="Q273" i="16"/>
  <c r="P273" i="16"/>
  <c r="O273" i="16"/>
  <c r="N273" i="16"/>
  <c r="M273" i="16"/>
  <c r="L273" i="16"/>
  <c r="K273" i="16"/>
  <c r="J273" i="16"/>
  <c r="I273" i="16"/>
  <c r="H273" i="16"/>
  <c r="G273" i="16"/>
  <c r="F273" i="16"/>
  <c r="E273" i="16"/>
  <c r="D273" i="16"/>
  <c r="T272" i="16"/>
  <c r="S272" i="16"/>
  <c r="R272" i="16"/>
  <c r="Q272" i="16"/>
  <c r="P272" i="16"/>
  <c r="O272" i="16"/>
  <c r="N272" i="16"/>
  <c r="M272" i="16"/>
  <c r="L272" i="16"/>
  <c r="K272" i="16"/>
  <c r="J272" i="16"/>
  <c r="I272" i="16"/>
  <c r="H272" i="16"/>
  <c r="G272" i="16"/>
  <c r="F272" i="16"/>
  <c r="E272" i="16"/>
  <c r="D272" i="16"/>
  <c r="T271" i="16"/>
  <c r="R271" i="16"/>
  <c r="Q271" i="16"/>
  <c r="P271" i="16"/>
  <c r="O271" i="16"/>
  <c r="N271" i="16"/>
  <c r="M271" i="16"/>
  <c r="L271" i="16"/>
  <c r="K271" i="16"/>
  <c r="J271" i="16"/>
  <c r="I271" i="16"/>
  <c r="H271" i="16"/>
  <c r="G271" i="16"/>
  <c r="F271" i="16"/>
  <c r="E271" i="16"/>
  <c r="D271" i="16"/>
  <c r="T270" i="16"/>
  <c r="S270" i="16"/>
  <c r="R270" i="16"/>
  <c r="Q270" i="16"/>
  <c r="P270" i="16"/>
  <c r="O270" i="16"/>
  <c r="N270" i="16"/>
  <c r="M270" i="16"/>
  <c r="L270" i="16"/>
  <c r="K270" i="16"/>
  <c r="J270" i="16"/>
  <c r="I270" i="16"/>
  <c r="H270" i="16"/>
  <c r="G270" i="16"/>
  <c r="F270" i="16"/>
  <c r="E270" i="16"/>
  <c r="D270" i="16"/>
  <c r="T269" i="16"/>
  <c r="S269" i="16"/>
  <c r="R269" i="16"/>
  <c r="Q269" i="16"/>
  <c r="P269" i="16"/>
  <c r="O269" i="16"/>
  <c r="N269" i="16"/>
  <c r="M269" i="16"/>
  <c r="L269" i="16"/>
  <c r="K269" i="16"/>
  <c r="J269" i="16"/>
  <c r="I269" i="16"/>
  <c r="H269" i="16"/>
  <c r="G269" i="16"/>
  <c r="F269" i="16"/>
  <c r="E269" i="16"/>
  <c r="D269" i="16"/>
  <c r="T268" i="16"/>
  <c r="S268" i="16"/>
  <c r="R268" i="16"/>
  <c r="Q268" i="16"/>
  <c r="P268" i="16"/>
  <c r="O268" i="16"/>
  <c r="N268" i="16"/>
  <c r="M268" i="16"/>
  <c r="L268" i="16"/>
  <c r="K268" i="16"/>
  <c r="J268" i="16"/>
  <c r="I268" i="16"/>
  <c r="H268" i="16"/>
  <c r="G268" i="16"/>
  <c r="F268" i="16"/>
  <c r="E268" i="16"/>
  <c r="D268" i="16"/>
  <c r="T267" i="16"/>
  <c r="S267" i="16"/>
  <c r="R267" i="16"/>
  <c r="Q267" i="16"/>
  <c r="P267" i="16"/>
  <c r="O267" i="16"/>
  <c r="N267" i="16"/>
  <c r="M267" i="16"/>
  <c r="L267" i="16"/>
  <c r="K267" i="16"/>
  <c r="J267" i="16"/>
  <c r="I267" i="16"/>
  <c r="H267" i="16"/>
  <c r="G267" i="16"/>
  <c r="F267" i="16"/>
  <c r="E267" i="16"/>
  <c r="D267" i="16"/>
  <c r="T266" i="16"/>
  <c r="R266" i="16"/>
  <c r="Q266" i="16"/>
  <c r="P266" i="16"/>
  <c r="O266" i="16"/>
  <c r="N266" i="16"/>
  <c r="M266" i="16"/>
  <c r="L266" i="16"/>
  <c r="K266" i="16"/>
  <c r="J266" i="16"/>
  <c r="I266" i="16"/>
  <c r="H266" i="16"/>
  <c r="G266" i="16"/>
  <c r="F266" i="16"/>
  <c r="E266" i="16"/>
  <c r="D266" i="16"/>
  <c r="T265" i="16"/>
  <c r="S265" i="16"/>
  <c r="R265" i="16"/>
  <c r="Q265" i="16"/>
  <c r="P265" i="16"/>
  <c r="O265" i="16"/>
  <c r="N265" i="16"/>
  <c r="M265" i="16"/>
  <c r="L265" i="16"/>
  <c r="K265" i="16"/>
  <c r="J265" i="16"/>
  <c r="I265" i="16"/>
  <c r="H265" i="16"/>
  <c r="G265" i="16"/>
  <c r="F265" i="16"/>
  <c r="E265" i="16"/>
  <c r="D265" i="16"/>
  <c r="T264" i="16"/>
  <c r="S264" i="16"/>
  <c r="R264" i="16"/>
  <c r="Q264" i="16"/>
  <c r="P264" i="16"/>
  <c r="O264" i="16"/>
  <c r="N264" i="16"/>
  <c r="M264" i="16"/>
  <c r="L264" i="16"/>
  <c r="K264" i="16"/>
  <c r="J264" i="16"/>
  <c r="I264" i="16"/>
  <c r="H264" i="16"/>
  <c r="G264" i="16"/>
  <c r="F264" i="16"/>
  <c r="E264" i="16"/>
  <c r="D264" i="16"/>
  <c r="T263" i="16"/>
  <c r="S263" i="16"/>
  <c r="R263" i="16"/>
  <c r="Q263" i="16"/>
  <c r="P263" i="16"/>
  <c r="O263" i="16"/>
  <c r="N263" i="16"/>
  <c r="M263" i="16"/>
  <c r="L263" i="16"/>
  <c r="K263" i="16"/>
  <c r="J263" i="16"/>
  <c r="I263" i="16"/>
  <c r="H263" i="16"/>
  <c r="G263" i="16"/>
  <c r="F263" i="16"/>
  <c r="E263" i="16"/>
  <c r="D263" i="16"/>
  <c r="T262" i="16"/>
  <c r="S262" i="16"/>
  <c r="R262" i="16"/>
  <c r="Q262" i="16"/>
  <c r="P262" i="16"/>
  <c r="O262" i="16"/>
  <c r="N262" i="16"/>
  <c r="M262" i="16"/>
  <c r="L262" i="16"/>
  <c r="K262" i="16"/>
  <c r="J262" i="16"/>
  <c r="I262" i="16"/>
  <c r="H262" i="16"/>
  <c r="G262" i="16"/>
  <c r="F262" i="16"/>
  <c r="E262" i="16"/>
  <c r="D262" i="16"/>
  <c r="T261" i="16"/>
  <c r="R261" i="16"/>
  <c r="Q261" i="16"/>
  <c r="P261" i="16"/>
  <c r="O261" i="16"/>
  <c r="N261" i="16"/>
  <c r="M261" i="16"/>
  <c r="L261" i="16"/>
  <c r="K261" i="16"/>
  <c r="J261" i="16"/>
  <c r="I261" i="16"/>
  <c r="H261" i="16"/>
  <c r="G261" i="16"/>
  <c r="F261" i="16"/>
  <c r="E261" i="16"/>
  <c r="D261" i="16"/>
  <c r="T260" i="16"/>
  <c r="S260" i="16"/>
  <c r="R260" i="16"/>
  <c r="Q260" i="16"/>
  <c r="P260" i="16"/>
  <c r="O260" i="16"/>
  <c r="N260" i="16"/>
  <c r="M260" i="16"/>
  <c r="L260" i="16"/>
  <c r="K260" i="16"/>
  <c r="J260" i="16"/>
  <c r="I260" i="16"/>
  <c r="H260" i="16"/>
  <c r="G260" i="16"/>
  <c r="F260" i="16"/>
  <c r="E260" i="16"/>
  <c r="D260" i="16"/>
  <c r="T259" i="16"/>
  <c r="S259" i="16"/>
  <c r="R259" i="16"/>
  <c r="Q259" i="16"/>
  <c r="P259" i="16"/>
  <c r="O259" i="16"/>
  <c r="N259" i="16"/>
  <c r="M259" i="16"/>
  <c r="L259" i="16"/>
  <c r="K259" i="16"/>
  <c r="J259" i="16"/>
  <c r="I259" i="16"/>
  <c r="H259" i="16"/>
  <c r="G259" i="16"/>
  <c r="F259" i="16"/>
  <c r="E259" i="16"/>
  <c r="D259" i="16"/>
  <c r="T258" i="16"/>
  <c r="S258" i="16"/>
  <c r="R258" i="16"/>
  <c r="Q258" i="16"/>
  <c r="P258" i="16"/>
  <c r="O258" i="16"/>
  <c r="N258" i="16"/>
  <c r="M258" i="16"/>
  <c r="L258" i="16"/>
  <c r="K258" i="16"/>
  <c r="J258" i="16"/>
  <c r="I258" i="16"/>
  <c r="H258" i="16"/>
  <c r="G258" i="16"/>
  <c r="F258" i="16"/>
  <c r="E258" i="16"/>
  <c r="D258" i="16"/>
  <c r="T257" i="16"/>
  <c r="S257" i="16"/>
  <c r="R257" i="16"/>
  <c r="Q257" i="16"/>
  <c r="P257" i="16"/>
  <c r="O257" i="16"/>
  <c r="N257" i="16"/>
  <c r="M257" i="16"/>
  <c r="L257" i="16"/>
  <c r="K257" i="16"/>
  <c r="J257" i="16"/>
  <c r="I257" i="16"/>
  <c r="H257" i="16"/>
  <c r="G257" i="16"/>
  <c r="F257" i="16"/>
  <c r="E257" i="16"/>
  <c r="D257" i="16"/>
  <c r="T256" i="16"/>
  <c r="R256" i="16"/>
  <c r="Q256" i="16"/>
  <c r="P256" i="16"/>
  <c r="O256" i="16"/>
  <c r="N256" i="16"/>
  <c r="M256" i="16"/>
  <c r="L256" i="16"/>
  <c r="K256" i="16"/>
  <c r="J256" i="16"/>
  <c r="I256" i="16"/>
  <c r="H256" i="16"/>
  <c r="G256" i="16"/>
  <c r="F256" i="16"/>
  <c r="E256" i="16"/>
  <c r="D256" i="16"/>
  <c r="T255" i="16"/>
  <c r="R255" i="16"/>
  <c r="Q255" i="16"/>
  <c r="P255" i="16"/>
  <c r="O255" i="16"/>
  <c r="N255" i="16"/>
  <c r="M255" i="16"/>
  <c r="L255" i="16"/>
  <c r="K255" i="16"/>
  <c r="J255" i="16"/>
  <c r="I255" i="16"/>
  <c r="H255" i="16"/>
  <c r="G255" i="16"/>
  <c r="F255" i="16"/>
  <c r="E255" i="16"/>
  <c r="D255" i="16"/>
  <c r="T254" i="16"/>
  <c r="S254" i="16"/>
  <c r="R254" i="16"/>
  <c r="Q254" i="16"/>
  <c r="P254" i="16"/>
  <c r="O254" i="16"/>
  <c r="N254" i="16"/>
  <c r="M254" i="16"/>
  <c r="L254" i="16"/>
  <c r="K254" i="16"/>
  <c r="J254" i="16"/>
  <c r="I254" i="16"/>
  <c r="H254" i="16"/>
  <c r="G254" i="16"/>
  <c r="F254" i="16"/>
  <c r="E254" i="16"/>
  <c r="D254" i="16"/>
  <c r="T253" i="16"/>
  <c r="R253" i="16"/>
  <c r="Q253" i="16"/>
  <c r="P253" i="16"/>
  <c r="O253" i="16"/>
  <c r="N253" i="16"/>
  <c r="M253" i="16"/>
  <c r="L253" i="16"/>
  <c r="K253" i="16"/>
  <c r="J253" i="16"/>
  <c r="I253" i="16"/>
  <c r="H253" i="16"/>
  <c r="G253" i="16"/>
  <c r="F253" i="16"/>
  <c r="E253" i="16"/>
  <c r="D253" i="16"/>
  <c r="T252" i="16"/>
  <c r="S252" i="16"/>
  <c r="R252" i="16"/>
  <c r="Q252" i="16"/>
  <c r="P252" i="16"/>
  <c r="O252" i="16"/>
  <c r="N252" i="16"/>
  <c r="M252" i="16"/>
  <c r="L252" i="16"/>
  <c r="K252" i="16"/>
  <c r="J252" i="16"/>
  <c r="I252" i="16"/>
  <c r="H252" i="16"/>
  <c r="G252" i="16"/>
  <c r="F252" i="16"/>
  <c r="E252" i="16"/>
  <c r="D252" i="16"/>
  <c r="T251" i="16"/>
  <c r="S251" i="16"/>
  <c r="R251" i="16"/>
  <c r="Q251" i="16"/>
  <c r="P251" i="16"/>
  <c r="O251" i="16"/>
  <c r="N251" i="16"/>
  <c r="M251" i="16"/>
  <c r="L251" i="16"/>
  <c r="K251" i="16"/>
  <c r="J251" i="16"/>
  <c r="I251" i="16"/>
  <c r="H251" i="16"/>
  <c r="G251" i="16"/>
  <c r="F251" i="16"/>
  <c r="E251" i="16"/>
  <c r="D251" i="16"/>
  <c r="T250" i="16"/>
  <c r="S250" i="16"/>
  <c r="R250" i="16"/>
  <c r="Q250" i="16"/>
  <c r="P250" i="16"/>
  <c r="O250" i="16"/>
  <c r="N250" i="16"/>
  <c r="M250" i="16"/>
  <c r="L250" i="16"/>
  <c r="K250" i="16"/>
  <c r="J250" i="16"/>
  <c r="I250" i="16"/>
  <c r="H250" i="16"/>
  <c r="G250" i="16"/>
  <c r="F250" i="16"/>
  <c r="E250" i="16"/>
  <c r="D250" i="16"/>
  <c r="T249" i="16"/>
  <c r="R249" i="16"/>
  <c r="Q249" i="16"/>
  <c r="P249" i="16"/>
  <c r="O249" i="16"/>
  <c r="N249" i="16"/>
  <c r="M249" i="16"/>
  <c r="L249" i="16"/>
  <c r="K249" i="16"/>
  <c r="J249" i="16"/>
  <c r="I249" i="16"/>
  <c r="H249" i="16"/>
  <c r="G249" i="16"/>
  <c r="F249" i="16"/>
  <c r="E249" i="16"/>
  <c r="D249" i="16"/>
  <c r="T248" i="16"/>
  <c r="S248" i="16"/>
  <c r="R248" i="16"/>
  <c r="Q248" i="16"/>
  <c r="P248" i="16"/>
  <c r="O248" i="16"/>
  <c r="N248" i="16"/>
  <c r="M248" i="16"/>
  <c r="L248" i="16"/>
  <c r="K248" i="16"/>
  <c r="J248" i="16"/>
  <c r="I248" i="16"/>
  <c r="H248" i="16"/>
  <c r="G248" i="16"/>
  <c r="F248" i="16"/>
  <c r="E248" i="16"/>
  <c r="D248" i="16"/>
  <c r="T247" i="16"/>
  <c r="S247" i="16"/>
  <c r="R247" i="16"/>
  <c r="Q247" i="16"/>
  <c r="P247" i="16"/>
  <c r="O247" i="16"/>
  <c r="N247" i="16"/>
  <c r="M247" i="16"/>
  <c r="L247" i="16"/>
  <c r="K247" i="16"/>
  <c r="J247" i="16"/>
  <c r="I247" i="16"/>
  <c r="H247" i="16"/>
  <c r="G247" i="16"/>
  <c r="F247" i="16"/>
  <c r="E247" i="16"/>
  <c r="D247" i="16"/>
  <c r="T246" i="16"/>
  <c r="S246" i="16"/>
  <c r="R246" i="16"/>
  <c r="Q246" i="16"/>
  <c r="P246" i="16"/>
  <c r="O246" i="16"/>
  <c r="N246" i="16"/>
  <c r="M246" i="16"/>
  <c r="L246" i="16"/>
  <c r="K246" i="16"/>
  <c r="J246" i="16"/>
  <c r="I246" i="16"/>
  <c r="H246" i="16"/>
  <c r="G246" i="16"/>
  <c r="F246" i="16"/>
  <c r="E246" i="16"/>
  <c r="D246" i="16"/>
  <c r="T245" i="16"/>
  <c r="S245" i="16"/>
  <c r="R245" i="16"/>
  <c r="Q245" i="16"/>
  <c r="P245" i="16"/>
  <c r="O245" i="16"/>
  <c r="N245" i="16"/>
  <c r="M245" i="16"/>
  <c r="L245" i="16"/>
  <c r="K245" i="16"/>
  <c r="J245" i="16"/>
  <c r="I245" i="16"/>
  <c r="H245" i="16"/>
  <c r="G245" i="16"/>
  <c r="F245" i="16"/>
  <c r="E245" i="16"/>
  <c r="D245" i="16"/>
  <c r="T244" i="16"/>
  <c r="R244" i="16"/>
  <c r="Q244" i="16"/>
  <c r="P244" i="16"/>
  <c r="O244" i="16"/>
  <c r="N244" i="16"/>
  <c r="M244" i="16"/>
  <c r="L244" i="16"/>
  <c r="K244" i="16"/>
  <c r="J244" i="16"/>
  <c r="I244" i="16"/>
  <c r="H244" i="16"/>
  <c r="G244" i="16"/>
  <c r="F244" i="16"/>
  <c r="E244" i="16"/>
  <c r="D244" i="16"/>
  <c r="T243" i="16"/>
  <c r="S243" i="16"/>
  <c r="R243" i="16"/>
  <c r="Q243" i="16"/>
  <c r="P243" i="16"/>
  <c r="O243" i="16"/>
  <c r="N243" i="16"/>
  <c r="M243" i="16"/>
  <c r="L243" i="16"/>
  <c r="K243" i="16"/>
  <c r="J243" i="16"/>
  <c r="I243" i="16"/>
  <c r="H243" i="16"/>
  <c r="G243" i="16"/>
  <c r="F243" i="16"/>
  <c r="E243" i="16"/>
  <c r="D243" i="16"/>
  <c r="T242" i="16"/>
  <c r="R242" i="16"/>
  <c r="Q242" i="16"/>
  <c r="P242" i="16"/>
  <c r="O242" i="16"/>
  <c r="N242" i="16"/>
  <c r="M242" i="16"/>
  <c r="L242" i="16"/>
  <c r="K242" i="16"/>
  <c r="J242" i="16"/>
  <c r="I242" i="16"/>
  <c r="H242" i="16"/>
  <c r="G242" i="16"/>
  <c r="F242" i="16"/>
  <c r="E242" i="16"/>
  <c r="D242" i="16"/>
  <c r="T241" i="16"/>
  <c r="R241" i="16"/>
  <c r="Q241" i="16"/>
  <c r="P241" i="16"/>
  <c r="O241" i="16"/>
  <c r="N241" i="16"/>
  <c r="M241" i="16"/>
  <c r="L241" i="16"/>
  <c r="K241" i="16"/>
  <c r="J241" i="16"/>
  <c r="I241" i="16"/>
  <c r="H241" i="16"/>
  <c r="G241" i="16"/>
  <c r="F241" i="16"/>
  <c r="E241" i="16"/>
  <c r="D241" i="16"/>
  <c r="T240" i="16"/>
  <c r="S240" i="16"/>
  <c r="R240" i="16"/>
  <c r="Q240" i="16"/>
  <c r="P240" i="16"/>
  <c r="O240" i="16"/>
  <c r="N240" i="16"/>
  <c r="M240" i="16"/>
  <c r="L240" i="16"/>
  <c r="K240" i="16"/>
  <c r="J240" i="16"/>
  <c r="I240" i="16"/>
  <c r="H240" i="16"/>
  <c r="G240" i="16"/>
  <c r="F240" i="16"/>
  <c r="E240" i="16"/>
  <c r="D240" i="16"/>
  <c r="T239" i="16"/>
  <c r="S239" i="16"/>
  <c r="R239" i="16"/>
  <c r="Q239" i="16"/>
  <c r="P239" i="16"/>
  <c r="O239" i="16"/>
  <c r="N239" i="16"/>
  <c r="M239" i="16"/>
  <c r="L239" i="16"/>
  <c r="K239" i="16"/>
  <c r="J239" i="16"/>
  <c r="I239" i="16"/>
  <c r="H239" i="16"/>
  <c r="G239" i="16"/>
  <c r="F239" i="16"/>
  <c r="E239" i="16"/>
  <c r="D239" i="16"/>
  <c r="T238" i="16"/>
  <c r="S238" i="16"/>
  <c r="R238" i="16"/>
  <c r="Q238" i="16"/>
  <c r="P238" i="16"/>
  <c r="O238" i="16"/>
  <c r="N238" i="16"/>
  <c r="M238" i="16"/>
  <c r="L238" i="16"/>
  <c r="K238" i="16"/>
  <c r="J238" i="16"/>
  <c r="I238" i="16"/>
  <c r="H238" i="16"/>
  <c r="G238" i="16"/>
  <c r="F238" i="16"/>
  <c r="E238" i="16"/>
  <c r="D238" i="16"/>
  <c r="T237" i="16"/>
  <c r="S237" i="16"/>
  <c r="R237" i="16"/>
  <c r="Q237" i="16"/>
  <c r="P237" i="16"/>
  <c r="O237" i="16"/>
  <c r="N237" i="16"/>
  <c r="M237" i="16"/>
  <c r="L237" i="16"/>
  <c r="K237" i="16"/>
  <c r="J237" i="16"/>
  <c r="I237" i="16"/>
  <c r="H237" i="16"/>
  <c r="G237" i="16"/>
  <c r="F237" i="16"/>
  <c r="E237" i="16"/>
  <c r="D237" i="16"/>
  <c r="T236" i="16"/>
  <c r="R236" i="16"/>
  <c r="Q236" i="16"/>
  <c r="P236" i="16"/>
  <c r="O236" i="16"/>
  <c r="N236" i="16"/>
  <c r="M236" i="16"/>
  <c r="L236" i="16"/>
  <c r="K236" i="16"/>
  <c r="J236" i="16"/>
  <c r="I236" i="16"/>
  <c r="H236" i="16"/>
  <c r="G236" i="16"/>
  <c r="F236" i="16"/>
  <c r="E236" i="16"/>
  <c r="D236" i="16"/>
  <c r="T235" i="16"/>
  <c r="S235" i="16"/>
  <c r="R235" i="16"/>
  <c r="Q235" i="16"/>
  <c r="P235" i="16"/>
  <c r="O235" i="16"/>
  <c r="N235" i="16"/>
  <c r="M235" i="16"/>
  <c r="L235" i="16"/>
  <c r="K235" i="16"/>
  <c r="J235" i="16"/>
  <c r="I235" i="16"/>
  <c r="H235" i="16"/>
  <c r="G235" i="16"/>
  <c r="F235" i="16"/>
  <c r="E235" i="16"/>
  <c r="D235" i="16"/>
  <c r="T234" i="16"/>
  <c r="R234" i="16"/>
  <c r="Q234" i="16"/>
  <c r="P234" i="16"/>
  <c r="O234" i="16"/>
  <c r="N234" i="16"/>
  <c r="M234" i="16"/>
  <c r="L234" i="16"/>
  <c r="K234" i="16"/>
  <c r="J234" i="16"/>
  <c r="I234" i="16"/>
  <c r="H234" i="16"/>
  <c r="G234" i="16"/>
  <c r="F234" i="16"/>
  <c r="E234" i="16"/>
  <c r="D234" i="16"/>
  <c r="T233" i="16"/>
  <c r="R233" i="16"/>
  <c r="Q233" i="16"/>
  <c r="P233" i="16"/>
  <c r="O233" i="16"/>
  <c r="N233" i="16"/>
  <c r="M233" i="16"/>
  <c r="L233" i="16"/>
  <c r="K233" i="16"/>
  <c r="J233" i="16"/>
  <c r="I233" i="16"/>
  <c r="H233" i="16"/>
  <c r="G233" i="16"/>
  <c r="F233" i="16"/>
  <c r="E233" i="16"/>
  <c r="D233" i="16"/>
  <c r="T232" i="16"/>
  <c r="S232" i="16"/>
  <c r="R232" i="16"/>
  <c r="Q232" i="16"/>
  <c r="P232" i="16"/>
  <c r="O232" i="16"/>
  <c r="N232" i="16"/>
  <c r="M232" i="16"/>
  <c r="L232" i="16"/>
  <c r="K232" i="16"/>
  <c r="J232" i="16"/>
  <c r="I232" i="16"/>
  <c r="H232" i="16"/>
  <c r="G232" i="16"/>
  <c r="F232" i="16"/>
  <c r="E232" i="16"/>
  <c r="D232" i="16"/>
  <c r="T231" i="16"/>
  <c r="S231" i="16"/>
  <c r="R231" i="16"/>
  <c r="Q231" i="16"/>
  <c r="P231" i="16"/>
  <c r="O231" i="16"/>
  <c r="N231" i="16"/>
  <c r="M231" i="16"/>
  <c r="L231" i="16"/>
  <c r="K231" i="16"/>
  <c r="J231" i="16"/>
  <c r="I231" i="16"/>
  <c r="H231" i="16"/>
  <c r="G231" i="16"/>
  <c r="F231" i="16"/>
  <c r="E231" i="16"/>
  <c r="D231" i="16"/>
  <c r="T230" i="16"/>
  <c r="S230" i="16"/>
  <c r="R230" i="16"/>
  <c r="Q230" i="16"/>
  <c r="P230" i="16"/>
  <c r="O230" i="16"/>
  <c r="N230" i="16"/>
  <c r="M230" i="16"/>
  <c r="L230" i="16"/>
  <c r="K230" i="16"/>
  <c r="J230" i="16"/>
  <c r="I230" i="16"/>
  <c r="H230" i="16"/>
  <c r="G230" i="16"/>
  <c r="F230" i="16"/>
  <c r="E230" i="16"/>
  <c r="D230" i="16"/>
  <c r="T229" i="16"/>
  <c r="S229" i="16"/>
  <c r="R229" i="16"/>
  <c r="Q229" i="16"/>
  <c r="P229" i="16"/>
  <c r="O229" i="16"/>
  <c r="N229" i="16"/>
  <c r="M229" i="16"/>
  <c r="L229" i="16"/>
  <c r="K229" i="16"/>
  <c r="J229" i="16"/>
  <c r="I229" i="16"/>
  <c r="H229" i="16"/>
  <c r="G229" i="16"/>
  <c r="F229" i="16"/>
  <c r="E229" i="16"/>
  <c r="D229" i="16"/>
  <c r="T228" i="16"/>
  <c r="R228" i="16"/>
  <c r="Q228" i="16"/>
  <c r="P228" i="16"/>
  <c r="O228" i="16"/>
  <c r="N228" i="16"/>
  <c r="M228" i="16"/>
  <c r="L228" i="16"/>
  <c r="K228" i="16"/>
  <c r="J228" i="16"/>
  <c r="I228" i="16"/>
  <c r="H228" i="16"/>
  <c r="G228" i="16"/>
  <c r="F228" i="16"/>
  <c r="E228" i="16"/>
  <c r="D228" i="16"/>
  <c r="T227" i="16"/>
  <c r="S227" i="16"/>
  <c r="R227" i="16"/>
  <c r="Q227" i="16"/>
  <c r="P227" i="16"/>
  <c r="O227" i="16"/>
  <c r="N227" i="16"/>
  <c r="M227" i="16"/>
  <c r="L227" i="16"/>
  <c r="K227" i="16"/>
  <c r="J227" i="16"/>
  <c r="I227" i="16"/>
  <c r="H227" i="16"/>
  <c r="G227" i="16"/>
  <c r="F227" i="16"/>
  <c r="E227" i="16"/>
  <c r="D227" i="16"/>
  <c r="T226" i="16"/>
  <c r="R226" i="16"/>
  <c r="Q226" i="16"/>
  <c r="P226" i="16"/>
  <c r="O226" i="16"/>
  <c r="N226" i="16"/>
  <c r="M226" i="16"/>
  <c r="L226" i="16"/>
  <c r="K226" i="16"/>
  <c r="J226" i="16"/>
  <c r="I226" i="16"/>
  <c r="H226" i="16"/>
  <c r="G226" i="16"/>
  <c r="F226" i="16"/>
  <c r="E226" i="16"/>
  <c r="D226" i="16"/>
  <c r="T225" i="16"/>
  <c r="S225" i="16"/>
  <c r="R225" i="16"/>
  <c r="Q225" i="16"/>
  <c r="P225" i="16"/>
  <c r="O225" i="16"/>
  <c r="N225" i="16"/>
  <c r="M225" i="16"/>
  <c r="L225" i="16"/>
  <c r="K225" i="16"/>
  <c r="J225" i="16"/>
  <c r="I225" i="16"/>
  <c r="H225" i="16"/>
  <c r="G225" i="16"/>
  <c r="F225" i="16"/>
  <c r="E225" i="16"/>
  <c r="D225" i="16"/>
  <c r="T224" i="16"/>
  <c r="S224" i="16"/>
  <c r="R224" i="16"/>
  <c r="Q224" i="16"/>
  <c r="P224" i="16"/>
  <c r="O224" i="16"/>
  <c r="N224" i="16"/>
  <c r="M224" i="16"/>
  <c r="L224" i="16"/>
  <c r="K224" i="16"/>
  <c r="J224" i="16"/>
  <c r="I224" i="16"/>
  <c r="H224" i="16"/>
  <c r="G224" i="16"/>
  <c r="F224" i="16"/>
  <c r="E224" i="16"/>
  <c r="D224" i="16"/>
  <c r="T223" i="16"/>
  <c r="S223" i="16"/>
  <c r="R223" i="16"/>
  <c r="Q223" i="16"/>
  <c r="P223" i="16"/>
  <c r="O223" i="16"/>
  <c r="N223" i="16"/>
  <c r="M223" i="16"/>
  <c r="L223" i="16"/>
  <c r="K223" i="16"/>
  <c r="J223" i="16"/>
  <c r="I223" i="16"/>
  <c r="H223" i="16"/>
  <c r="G223" i="16"/>
  <c r="F223" i="16"/>
  <c r="E223" i="16"/>
  <c r="D223" i="16"/>
  <c r="T222" i="16"/>
  <c r="S222" i="16"/>
  <c r="R222" i="16"/>
  <c r="Q222" i="16"/>
  <c r="P222" i="16"/>
  <c r="O222" i="16"/>
  <c r="N222" i="16"/>
  <c r="M222" i="16"/>
  <c r="L222" i="16"/>
  <c r="K222" i="16"/>
  <c r="J222" i="16"/>
  <c r="I222" i="16"/>
  <c r="H222" i="16"/>
  <c r="G222" i="16"/>
  <c r="F222" i="16"/>
  <c r="E222" i="16"/>
  <c r="D222" i="16"/>
  <c r="T221" i="16"/>
  <c r="S221" i="16"/>
  <c r="R221" i="16"/>
  <c r="Q221" i="16"/>
  <c r="P221" i="16"/>
  <c r="O221" i="16"/>
  <c r="N221" i="16"/>
  <c r="M221" i="16"/>
  <c r="L221" i="16"/>
  <c r="K221" i="16"/>
  <c r="J221" i="16"/>
  <c r="I221" i="16"/>
  <c r="H221" i="16"/>
  <c r="G221" i="16"/>
  <c r="F221" i="16"/>
  <c r="E221" i="16"/>
  <c r="D221" i="16"/>
  <c r="T220" i="16"/>
  <c r="S220" i="16"/>
  <c r="R220" i="16"/>
  <c r="Q220" i="16"/>
  <c r="P220" i="16"/>
  <c r="O220" i="16"/>
  <c r="N220" i="16"/>
  <c r="M220" i="16"/>
  <c r="L220" i="16"/>
  <c r="K220" i="16"/>
  <c r="J220" i="16"/>
  <c r="I220" i="16"/>
  <c r="H220" i="16"/>
  <c r="G220" i="16"/>
  <c r="F220" i="16"/>
  <c r="E220" i="16"/>
  <c r="D220" i="16"/>
  <c r="T219" i="16"/>
  <c r="R219" i="16"/>
  <c r="Q219" i="16"/>
  <c r="P219" i="16"/>
  <c r="O219" i="16"/>
  <c r="N219" i="16"/>
  <c r="M219" i="16"/>
  <c r="L219" i="16"/>
  <c r="K219" i="16"/>
  <c r="J219" i="16"/>
  <c r="I219" i="16"/>
  <c r="H219" i="16"/>
  <c r="G219" i="16"/>
  <c r="F219" i="16"/>
  <c r="E219" i="16"/>
  <c r="D219" i="16"/>
  <c r="T218" i="16"/>
  <c r="S218" i="16"/>
  <c r="R218" i="16"/>
  <c r="Q218" i="16"/>
  <c r="P218" i="16"/>
  <c r="O218" i="16"/>
  <c r="N218" i="16"/>
  <c r="M218" i="16"/>
  <c r="L218" i="16"/>
  <c r="K218" i="16"/>
  <c r="J218" i="16"/>
  <c r="I218" i="16"/>
  <c r="H218" i="16"/>
  <c r="G218" i="16"/>
  <c r="F218" i="16"/>
  <c r="E218" i="16"/>
  <c r="D218" i="16"/>
  <c r="T217" i="16"/>
  <c r="S217" i="16"/>
  <c r="R217" i="16"/>
  <c r="Q217" i="16"/>
  <c r="P217" i="16"/>
  <c r="O217" i="16"/>
  <c r="N217" i="16"/>
  <c r="M217" i="16"/>
  <c r="L217" i="16"/>
  <c r="K217" i="16"/>
  <c r="J217" i="16"/>
  <c r="I217" i="16"/>
  <c r="H217" i="16"/>
  <c r="G217" i="16"/>
  <c r="F217" i="16"/>
  <c r="E217" i="16"/>
  <c r="D217" i="16"/>
  <c r="T216" i="16"/>
  <c r="S216" i="16"/>
  <c r="R216" i="16"/>
  <c r="Q216" i="16"/>
  <c r="P216" i="16"/>
  <c r="O216" i="16"/>
  <c r="N216" i="16"/>
  <c r="M216" i="16"/>
  <c r="L216" i="16"/>
  <c r="K216" i="16"/>
  <c r="J216" i="16"/>
  <c r="I216" i="16"/>
  <c r="H216" i="16"/>
  <c r="G216" i="16"/>
  <c r="F216" i="16"/>
  <c r="E216" i="16"/>
  <c r="D216" i="16"/>
  <c r="T215" i="16"/>
  <c r="S215" i="16"/>
  <c r="R215" i="16"/>
  <c r="Q215" i="16"/>
  <c r="P215" i="16"/>
  <c r="O215" i="16"/>
  <c r="N215" i="16"/>
  <c r="M215" i="16"/>
  <c r="L215" i="16"/>
  <c r="K215" i="16"/>
  <c r="J215" i="16"/>
  <c r="I215" i="16"/>
  <c r="H215" i="16"/>
  <c r="G215" i="16"/>
  <c r="F215" i="16"/>
  <c r="E215" i="16"/>
  <c r="D215" i="16"/>
  <c r="T214" i="16"/>
  <c r="S214" i="16"/>
  <c r="R214" i="16"/>
  <c r="Q214" i="16"/>
  <c r="P214" i="16"/>
  <c r="O214" i="16"/>
  <c r="N214" i="16"/>
  <c r="M214" i="16"/>
  <c r="L214" i="16"/>
  <c r="K214" i="16"/>
  <c r="J214" i="16"/>
  <c r="I214" i="16"/>
  <c r="H214" i="16"/>
  <c r="G214" i="16"/>
  <c r="F214" i="16"/>
  <c r="E214" i="16"/>
  <c r="D214" i="16"/>
  <c r="T213" i="16"/>
  <c r="S213" i="16"/>
  <c r="R213" i="16"/>
  <c r="Q213" i="16"/>
  <c r="P213" i="16"/>
  <c r="O213" i="16"/>
  <c r="N213" i="16"/>
  <c r="M213" i="16"/>
  <c r="L213" i="16"/>
  <c r="K213" i="16"/>
  <c r="J213" i="16"/>
  <c r="I213" i="16"/>
  <c r="H213" i="16"/>
  <c r="G213" i="16"/>
  <c r="F213" i="16"/>
  <c r="E213" i="16"/>
  <c r="D213" i="16"/>
  <c r="T212" i="16"/>
  <c r="S212" i="16"/>
  <c r="R212" i="16"/>
  <c r="Q212" i="16"/>
  <c r="P212" i="16"/>
  <c r="O212" i="16"/>
  <c r="N212" i="16"/>
  <c r="M212" i="16"/>
  <c r="L212" i="16"/>
  <c r="K212" i="16"/>
  <c r="J212" i="16"/>
  <c r="I212" i="16"/>
  <c r="H212" i="16"/>
  <c r="G212" i="16"/>
  <c r="F212" i="16"/>
  <c r="E212" i="16"/>
  <c r="D212" i="16"/>
  <c r="T211" i="16"/>
  <c r="R211" i="16"/>
  <c r="Q211" i="16"/>
  <c r="P211" i="16"/>
  <c r="O211" i="16"/>
  <c r="N211" i="16"/>
  <c r="M211" i="16"/>
  <c r="L211" i="16"/>
  <c r="K211" i="16"/>
  <c r="J211" i="16"/>
  <c r="I211" i="16"/>
  <c r="H211" i="16"/>
  <c r="G211" i="16"/>
  <c r="F211" i="16"/>
  <c r="E211" i="16"/>
  <c r="D211" i="16"/>
  <c r="T210" i="16"/>
  <c r="S210" i="16"/>
  <c r="R210" i="16"/>
  <c r="Q210" i="16"/>
  <c r="P210" i="16"/>
  <c r="O210" i="16"/>
  <c r="N210" i="16"/>
  <c r="M210" i="16"/>
  <c r="L210" i="16"/>
  <c r="K210" i="16"/>
  <c r="J210" i="16"/>
  <c r="I210" i="16"/>
  <c r="H210" i="16"/>
  <c r="G210" i="16"/>
  <c r="F210" i="16"/>
  <c r="E210" i="16"/>
  <c r="D210" i="16"/>
  <c r="T209" i="16"/>
  <c r="S209" i="16"/>
  <c r="R209" i="16"/>
  <c r="Q209" i="16"/>
  <c r="P209" i="16"/>
  <c r="O209" i="16"/>
  <c r="N209" i="16"/>
  <c r="M209" i="16"/>
  <c r="L209" i="16"/>
  <c r="K209" i="16"/>
  <c r="J209" i="16"/>
  <c r="I209" i="16"/>
  <c r="H209" i="16"/>
  <c r="G209" i="16"/>
  <c r="F209" i="16"/>
  <c r="E209" i="16"/>
  <c r="D209" i="16"/>
  <c r="T208" i="16"/>
  <c r="S208" i="16"/>
  <c r="R208" i="16"/>
  <c r="Q208" i="16"/>
  <c r="P208" i="16"/>
  <c r="O208" i="16"/>
  <c r="N208" i="16"/>
  <c r="M208" i="16"/>
  <c r="L208" i="16"/>
  <c r="K208" i="16"/>
  <c r="J208" i="16"/>
  <c r="I208" i="16"/>
  <c r="H208" i="16"/>
  <c r="G208" i="16"/>
  <c r="F208" i="16"/>
  <c r="E208" i="16"/>
  <c r="D208" i="16"/>
  <c r="T207" i="16"/>
  <c r="S207" i="16"/>
  <c r="R207" i="16"/>
  <c r="Q207" i="16"/>
  <c r="P207" i="16"/>
  <c r="O207" i="16"/>
  <c r="N207" i="16"/>
  <c r="M207" i="16"/>
  <c r="L207" i="16"/>
  <c r="K207" i="16"/>
  <c r="J207" i="16"/>
  <c r="I207" i="16"/>
  <c r="H207" i="16"/>
  <c r="G207" i="16"/>
  <c r="F207" i="16"/>
  <c r="E207" i="16"/>
  <c r="D207" i="16"/>
  <c r="T206" i="16"/>
  <c r="S206" i="16"/>
  <c r="R206" i="16"/>
  <c r="Q206" i="16"/>
  <c r="P206" i="16"/>
  <c r="O206" i="16"/>
  <c r="N206" i="16"/>
  <c r="M206" i="16"/>
  <c r="L206" i="16"/>
  <c r="K206" i="16"/>
  <c r="J206" i="16"/>
  <c r="I206" i="16"/>
  <c r="H206" i="16"/>
  <c r="G206" i="16"/>
  <c r="F206" i="16"/>
  <c r="E206" i="16"/>
  <c r="D206" i="16"/>
  <c r="T205" i="16"/>
  <c r="S205" i="16"/>
  <c r="R205" i="16"/>
  <c r="Q205" i="16"/>
  <c r="P205" i="16"/>
  <c r="O205" i="16"/>
  <c r="N205" i="16"/>
  <c r="M205" i="16"/>
  <c r="L205" i="16"/>
  <c r="K205" i="16"/>
  <c r="J205" i="16"/>
  <c r="I205" i="16"/>
  <c r="H205" i="16"/>
  <c r="G205" i="16"/>
  <c r="F205" i="16"/>
  <c r="E205" i="16"/>
  <c r="D205" i="16"/>
  <c r="T204" i="16"/>
  <c r="S204" i="16"/>
  <c r="R204" i="16"/>
  <c r="Q204" i="16"/>
  <c r="P204" i="16"/>
  <c r="O204" i="16"/>
  <c r="N204" i="16"/>
  <c r="M204" i="16"/>
  <c r="L204" i="16"/>
  <c r="K204" i="16"/>
  <c r="J204" i="16"/>
  <c r="I204" i="16"/>
  <c r="H204" i="16"/>
  <c r="G204" i="16"/>
  <c r="F204" i="16"/>
  <c r="E204" i="16"/>
  <c r="D204" i="16"/>
  <c r="T203" i="16"/>
  <c r="R203" i="16"/>
  <c r="Q203" i="16"/>
  <c r="P203" i="16"/>
  <c r="O203" i="16"/>
  <c r="N203" i="16"/>
  <c r="M203" i="16"/>
  <c r="L203" i="16"/>
  <c r="K203" i="16"/>
  <c r="J203" i="16"/>
  <c r="I203" i="16"/>
  <c r="H203" i="16"/>
  <c r="G203" i="16"/>
  <c r="F203" i="16"/>
  <c r="E203" i="16"/>
  <c r="D203" i="16"/>
  <c r="T202" i="16"/>
  <c r="S202" i="16"/>
  <c r="R202" i="16"/>
  <c r="Q202" i="16"/>
  <c r="P202" i="16"/>
  <c r="O202" i="16"/>
  <c r="N202" i="16"/>
  <c r="M202" i="16"/>
  <c r="L202" i="16"/>
  <c r="K202" i="16"/>
  <c r="J202" i="16"/>
  <c r="I202" i="16"/>
  <c r="H202" i="16"/>
  <c r="G202" i="16"/>
  <c r="F202" i="16"/>
  <c r="E202" i="16"/>
  <c r="D202" i="16"/>
  <c r="T201" i="16"/>
  <c r="S201" i="16"/>
  <c r="R201" i="16"/>
  <c r="Q201" i="16"/>
  <c r="P201" i="16"/>
  <c r="O201" i="16"/>
  <c r="N201" i="16"/>
  <c r="M201" i="16"/>
  <c r="L201" i="16"/>
  <c r="K201" i="16"/>
  <c r="J201" i="16"/>
  <c r="I201" i="16"/>
  <c r="H201" i="16"/>
  <c r="G201" i="16"/>
  <c r="F201" i="16"/>
  <c r="E201" i="16"/>
  <c r="D201" i="16"/>
  <c r="T200" i="16"/>
  <c r="S200" i="16"/>
  <c r="R200" i="16"/>
  <c r="Q200" i="16"/>
  <c r="P200" i="16"/>
  <c r="O200" i="16"/>
  <c r="N200" i="16"/>
  <c r="M200" i="16"/>
  <c r="L200" i="16"/>
  <c r="K200" i="16"/>
  <c r="J200" i="16"/>
  <c r="I200" i="16"/>
  <c r="H200" i="16"/>
  <c r="G200" i="16"/>
  <c r="F200" i="16"/>
  <c r="E200" i="16"/>
  <c r="D200" i="16"/>
  <c r="T199" i="16"/>
  <c r="S199" i="16"/>
  <c r="R199" i="16"/>
  <c r="Q199" i="16"/>
  <c r="P199" i="16"/>
  <c r="O199" i="16"/>
  <c r="N199" i="16"/>
  <c r="M199" i="16"/>
  <c r="L199" i="16"/>
  <c r="K199" i="16"/>
  <c r="J199" i="16"/>
  <c r="I199" i="16"/>
  <c r="H199" i="16"/>
  <c r="G199" i="16"/>
  <c r="F199" i="16"/>
  <c r="E199" i="16"/>
  <c r="D199" i="16"/>
  <c r="T198" i="16"/>
  <c r="S198" i="16"/>
  <c r="R198" i="16"/>
  <c r="Q198" i="16"/>
  <c r="P198" i="16"/>
  <c r="O198" i="16"/>
  <c r="N198" i="16"/>
  <c r="M198" i="16"/>
  <c r="L198" i="16"/>
  <c r="K198" i="16"/>
  <c r="J198" i="16"/>
  <c r="I198" i="16"/>
  <c r="H198" i="16"/>
  <c r="G198" i="16"/>
  <c r="F198" i="16"/>
  <c r="E198" i="16"/>
  <c r="D198" i="16"/>
  <c r="T197" i="16"/>
  <c r="S197" i="16"/>
  <c r="R197" i="16"/>
  <c r="Q197" i="16"/>
  <c r="P197" i="16"/>
  <c r="O197" i="16"/>
  <c r="N197" i="16"/>
  <c r="M197" i="16"/>
  <c r="L197" i="16"/>
  <c r="K197" i="16"/>
  <c r="J197" i="16"/>
  <c r="I197" i="16"/>
  <c r="H197" i="16"/>
  <c r="G197" i="16"/>
  <c r="F197" i="16"/>
  <c r="E197" i="16"/>
  <c r="D197" i="16"/>
  <c r="T196" i="16"/>
  <c r="S196" i="16"/>
  <c r="R196" i="16"/>
  <c r="Q196" i="16"/>
  <c r="P196" i="16"/>
  <c r="O196" i="16"/>
  <c r="N196" i="16"/>
  <c r="M196" i="16"/>
  <c r="L196" i="16"/>
  <c r="K196" i="16"/>
  <c r="J196" i="16"/>
  <c r="I196" i="16"/>
  <c r="H196" i="16"/>
  <c r="G196" i="16"/>
  <c r="F196" i="16"/>
  <c r="E196" i="16"/>
  <c r="D196" i="16"/>
  <c r="T195" i="16"/>
  <c r="S195" i="16"/>
  <c r="R195" i="16"/>
  <c r="Q195" i="16"/>
  <c r="P195" i="16"/>
  <c r="O195" i="16"/>
  <c r="N195" i="16"/>
  <c r="M195" i="16"/>
  <c r="L195" i="16"/>
  <c r="K195" i="16"/>
  <c r="J195" i="16"/>
  <c r="I195" i="16"/>
  <c r="H195" i="16"/>
  <c r="G195" i="16"/>
  <c r="F195" i="16"/>
  <c r="E195" i="16"/>
  <c r="D195" i="16"/>
  <c r="T194" i="16"/>
  <c r="S194" i="16"/>
  <c r="R194" i="16"/>
  <c r="Q194" i="16"/>
  <c r="P194" i="16"/>
  <c r="O194" i="16"/>
  <c r="N194" i="16"/>
  <c r="M194" i="16"/>
  <c r="L194" i="16"/>
  <c r="K194" i="16"/>
  <c r="J194" i="16"/>
  <c r="I194" i="16"/>
  <c r="H194" i="16"/>
  <c r="G194" i="16"/>
  <c r="F194" i="16"/>
  <c r="E194" i="16"/>
  <c r="D194" i="16"/>
  <c r="T193" i="16"/>
  <c r="S193" i="16"/>
  <c r="R193" i="16"/>
  <c r="Q193" i="16"/>
  <c r="P193" i="16"/>
  <c r="O193" i="16"/>
  <c r="N193" i="16"/>
  <c r="M193" i="16"/>
  <c r="L193" i="16"/>
  <c r="K193" i="16"/>
  <c r="J193" i="16"/>
  <c r="I193" i="16"/>
  <c r="H193" i="16"/>
  <c r="G193" i="16"/>
  <c r="F193" i="16"/>
  <c r="E193" i="16"/>
  <c r="D193" i="16"/>
  <c r="T192" i="16"/>
  <c r="R192" i="16"/>
  <c r="Q192" i="16"/>
  <c r="P192" i="16"/>
  <c r="O192" i="16"/>
  <c r="N192" i="16"/>
  <c r="M192" i="16"/>
  <c r="L192" i="16"/>
  <c r="K192" i="16"/>
  <c r="J192" i="16"/>
  <c r="I192" i="16"/>
  <c r="H192" i="16"/>
  <c r="G192" i="16"/>
  <c r="F192" i="16"/>
  <c r="E192" i="16"/>
  <c r="D192" i="16"/>
  <c r="T191" i="16"/>
  <c r="S191" i="16"/>
  <c r="R191" i="16"/>
  <c r="Q191" i="16"/>
  <c r="P191" i="16"/>
  <c r="O191" i="16"/>
  <c r="N191" i="16"/>
  <c r="M191" i="16"/>
  <c r="L191" i="16"/>
  <c r="K191" i="16"/>
  <c r="J191" i="16"/>
  <c r="I191" i="16"/>
  <c r="H191" i="16"/>
  <c r="G191" i="16"/>
  <c r="F191" i="16"/>
  <c r="E191" i="16"/>
  <c r="D191" i="16"/>
  <c r="T190" i="16"/>
  <c r="R190" i="16"/>
  <c r="Q190" i="16"/>
  <c r="P190" i="16"/>
  <c r="O190" i="16"/>
  <c r="N190" i="16"/>
  <c r="M190" i="16"/>
  <c r="L190" i="16"/>
  <c r="K190" i="16"/>
  <c r="J190" i="16"/>
  <c r="I190" i="16"/>
  <c r="H190" i="16"/>
  <c r="G190" i="16"/>
  <c r="F190" i="16"/>
  <c r="E190" i="16"/>
  <c r="D190" i="16"/>
  <c r="T189" i="16"/>
  <c r="S189" i="16"/>
  <c r="R189" i="16"/>
  <c r="Q189" i="16"/>
  <c r="P189" i="16"/>
  <c r="O189" i="16"/>
  <c r="N189" i="16"/>
  <c r="M189" i="16"/>
  <c r="L189" i="16"/>
  <c r="K189" i="16"/>
  <c r="J189" i="16"/>
  <c r="I189" i="16"/>
  <c r="H189" i="16"/>
  <c r="G189" i="16"/>
  <c r="F189" i="16"/>
  <c r="E189" i="16"/>
  <c r="D189" i="16"/>
  <c r="T188" i="16"/>
  <c r="R188" i="16"/>
  <c r="Q188" i="16"/>
  <c r="P188" i="16"/>
  <c r="O188" i="16"/>
  <c r="N188" i="16"/>
  <c r="M188" i="16"/>
  <c r="L188" i="16"/>
  <c r="K188" i="16"/>
  <c r="J188" i="16"/>
  <c r="I188" i="16"/>
  <c r="H188" i="16"/>
  <c r="G188" i="16"/>
  <c r="F188" i="16"/>
  <c r="E188" i="16"/>
  <c r="D188" i="16"/>
  <c r="T187" i="16"/>
  <c r="S187" i="16"/>
  <c r="R187" i="16"/>
  <c r="Q187" i="16"/>
  <c r="P187" i="16"/>
  <c r="O187" i="16"/>
  <c r="N187" i="16"/>
  <c r="M187" i="16"/>
  <c r="L187" i="16"/>
  <c r="K187" i="16"/>
  <c r="J187" i="16"/>
  <c r="I187" i="16"/>
  <c r="H187" i="16"/>
  <c r="G187" i="16"/>
  <c r="F187" i="16"/>
  <c r="E187" i="16"/>
  <c r="D187" i="16"/>
  <c r="T186" i="16"/>
  <c r="S186" i="16"/>
  <c r="R186" i="16"/>
  <c r="Q186" i="16"/>
  <c r="P186" i="16"/>
  <c r="O186" i="16"/>
  <c r="N186" i="16"/>
  <c r="M186" i="16"/>
  <c r="L186" i="16"/>
  <c r="K186" i="16"/>
  <c r="J186" i="16"/>
  <c r="I186" i="16"/>
  <c r="H186" i="16"/>
  <c r="G186" i="16"/>
  <c r="F186" i="16"/>
  <c r="E186" i="16"/>
  <c r="D186" i="16"/>
  <c r="T185" i="16"/>
  <c r="S185" i="16"/>
  <c r="R185" i="16"/>
  <c r="Q185" i="16"/>
  <c r="P185" i="16"/>
  <c r="O185" i="16"/>
  <c r="N185" i="16"/>
  <c r="M185" i="16"/>
  <c r="L185" i="16"/>
  <c r="K185" i="16"/>
  <c r="J185" i="16"/>
  <c r="I185" i="16"/>
  <c r="H185" i="16"/>
  <c r="G185" i="16"/>
  <c r="F185" i="16"/>
  <c r="E185" i="16"/>
  <c r="D185" i="16"/>
  <c r="T184" i="16"/>
  <c r="R184" i="16"/>
  <c r="Q184" i="16"/>
  <c r="P184" i="16"/>
  <c r="O184" i="16"/>
  <c r="N184" i="16"/>
  <c r="M184" i="16"/>
  <c r="L184" i="16"/>
  <c r="K184" i="16"/>
  <c r="J184" i="16"/>
  <c r="I184" i="16"/>
  <c r="H184" i="16"/>
  <c r="G184" i="16"/>
  <c r="F184" i="16"/>
  <c r="E184" i="16"/>
  <c r="D184" i="16"/>
  <c r="T183" i="16"/>
  <c r="S183" i="16"/>
  <c r="R183" i="16"/>
  <c r="Q183" i="16"/>
  <c r="P183" i="16"/>
  <c r="O183" i="16"/>
  <c r="N183" i="16"/>
  <c r="M183" i="16"/>
  <c r="L183" i="16"/>
  <c r="K183" i="16"/>
  <c r="J183" i="16"/>
  <c r="I183" i="16"/>
  <c r="H183" i="16"/>
  <c r="G183" i="16"/>
  <c r="F183" i="16"/>
  <c r="E183" i="16"/>
  <c r="D183" i="16"/>
  <c r="T182" i="16"/>
  <c r="R182" i="16"/>
  <c r="Q182" i="16"/>
  <c r="P182" i="16"/>
  <c r="O182" i="16"/>
  <c r="N182" i="16"/>
  <c r="M182" i="16"/>
  <c r="L182" i="16"/>
  <c r="K182" i="16"/>
  <c r="J182" i="16"/>
  <c r="I182" i="16"/>
  <c r="H182" i="16"/>
  <c r="G182" i="16"/>
  <c r="F182" i="16"/>
  <c r="E182" i="16"/>
  <c r="D182" i="16"/>
  <c r="T181" i="16"/>
  <c r="S181" i="16"/>
  <c r="R181" i="16"/>
  <c r="Q181" i="16"/>
  <c r="P181" i="16"/>
  <c r="O181" i="16"/>
  <c r="N181" i="16"/>
  <c r="M181" i="16"/>
  <c r="L181" i="16"/>
  <c r="K181" i="16"/>
  <c r="J181" i="16"/>
  <c r="I181" i="16"/>
  <c r="H181" i="16"/>
  <c r="G181" i="16"/>
  <c r="F181" i="16"/>
  <c r="E181" i="16"/>
  <c r="D181" i="16"/>
  <c r="T180" i="16"/>
  <c r="R180" i="16"/>
  <c r="Q180" i="16"/>
  <c r="P180" i="16"/>
  <c r="O180" i="16"/>
  <c r="N180" i="16"/>
  <c r="M180" i="16"/>
  <c r="L180" i="16"/>
  <c r="K180" i="16"/>
  <c r="J180" i="16"/>
  <c r="I180" i="16"/>
  <c r="H180" i="16"/>
  <c r="G180" i="16"/>
  <c r="F180" i="16"/>
  <c r="E180" i="16"/>
  <c r="D180" i="16"/>
  <c r="T179" i="16"/>
  <c r="S179" i="16"/>
  <c r="R179" i="16"/>
  <c r="Q179" i="16"/>
  <c r="P179" i="16"/>
  <c r="O179" i="16"/>
  <c r="N179" i="16"/>
  <c r="M179" i="16"/>
  <c r="L179" i="16"/>
  <c r="K179" i="16"/>
  <c r="J179" i="16"/>
  <c r="I179" i="16"/>
  <c r="H179" i="16"/>
  <c r="G179" i="16"/>
  <c r="F179" i="16"/>
  <c r="E179" i="16"/>
  <c r="D179" i="16"/>
  <c r="T178" i="16"/>
  <c r="S178" i="16"/>
  <c r="R178" i="16"/>
  <c r="Q178" i="16"/>
  <c r="P178" i="16"/>
  <c r="O178" i="16"/>
  <c r="N178" i="16"/>
  <c r="M178" i="16"/>
  <c r="L178" i="16"/>
  <c r="K178" i="16"/>
  <c r="J178" i="16"/>
  <c r="I178" i="16"/>
  <c r="H178" i="16"/>
  <c r="G178" i="16"/>
  <c r="F178" i="16"/>
  <c r="E178" i="16"/>
  <c r="D178" i="16"/>
  <c r="T177" i="16"/>
  <c r="S177" i="16"/>
  <c r="R177" i="16"/>
  <c r="Q177" i="16"/>
  <c r="P177" i="16"/>
  <c r="O177" i="16"/>
  <c r="N177" i="16"/>
  <c r="M177" i="16"/>
  <c r="L177" i="16"/>
  <c r="K177" i="16"/>
  <c r="J177" i="16"/>
  <c r="I177" i="16"/>
  <c r="H177" i="16"/>
  <c r="G177" i="16"/>
  <c r="F177" i="16"/>
  <c r="E177" i="16"/>
  <c r="D177" i="16"/>
  <c r="T176" i="16"/>
  <c r="R176" i="16"/>
  <c r="Q176" i="16"/>
  <c r="P176" i="16"/>
  <c r="O176" i="16"/>
  <c r="N176" i="16"/>
  <c r="M176" i="16"/>
  <c r="L176" i="16"/>
  <c r="K176" i="16"/>
  <c r="J176" i="16"/>
  <c r="I176" i="16"/>
  <c r="H176" i="16"/>
  <c r="G176" i="16"/>
  <c r="F176" i="16"/>
  <c r="E176" i="16"/>
  <c r="D176" i="16"/>
  <c r="T175" i="16"/>
  <c r="S175" i="16"/>
  <c r="R175" i="16"/>
  <c r="Q175" i="16"/>
  <c r="P175" i="16"/>
  <c r="O175" i="16"/>
  <c r="N175" i="16"/>
  <c r="M175" i="16"/>
  <c r="L175" i="16"/>
  <c r="K175" i="16"/>
  <c r="J175" i="16"/>
  <c r="I175" i="16"/>
  <c r="H175" i="16"/>
  <c r="G175" i="16"/>
  <c r="F175" i="16"/>
  <c r="E175" i="16"/>
  <c r="D175" i="16"/>
  <c r="T174" i="16"/>
  <c r="R174" i="16"/>
  <c r="Q174" i="16"/>
  <c r="P174" i="16"/>
  <c r="O174" i="16"/>
  <c r="N174" i="16"/>
  <c r="M174" i="16"/>
  <c r="L174" i="16"/>
  <c r="K174" i="16"/>
  <c r="J174" i="16"/>
  <c r="I174" i="16"/>
  <c r="H174" i="16"/>
  <c r="G174" i="16"/>
  <c r="F174" i="16"/>
  <c r="E174" i="16"/>
  <c r="D174" i="16"/>
  <c r="T173" i="16"/>
  <c r="S173" i="16"/>
  <c r="R173" i="16"/>
  <c r="Q173" i="16"/>
  <c r="P173" i="16"/>
  <c r="O173" i="16"/>
  <c r="N173" i="16"/>
  <c r="M173" i="16"/>
  <c r="L173" i="16"/>
  <c r="K173" i="16"/>
  <c r="J173" i="16"/>
  <c r="I173" i="16"/>
  <c r="H173" i="16"/>
  <c r="G173" i="16"/>
  <c r="F173" i="16"/>
  <c r="E173" i="16"/>
  <c r="D173" i="16"/>
  <c r="T172" i="16"/>
  <c r="R172" i="16"/>
  <c r="Q172" i="16"/>
  <c r="P172" i="16"/>
  <c r="O172" i="16"/>
  <c r="N172" i="16"/>
  <c r="M172" i="16"/>
  <c r="L172" i="16"/>
  <c r="K172" i="16"/>
  <c r="J172" i="16"/>
  <c r="I172" i="16"/>
  <c r="H172" i="16"/>
  <c r="G172" i="16"/>
  <c r="F172" i="16"/>
  <c r="E172" i="16"/>
  <c r="D172" i="16"/>
  <c r="T171" i="16"/>
  <c r="S171" i="16"/>
  <c r="R171" i="16"/>
  <c r="Q171" i="16"/>
  <c r="P171" i="16"/>
  <c r="O171" i="16"/>
  <c r="N171" i="16"/>
  <c r="M171" i="16"/>
  <c r="L171" i="16"/>
  <c r="K171" i="16"/>
  <c r="J171" i="16"/>
  <c r="I171" i="16"/>
  <c r="H171" i="16"/>
  <c r="G171" i="16"/>
  <c r="F171" i="16"/>
  <c r="E171" i="16"/>
  <c r="D171" i="16"/>
  <c r="T170" i="16"/>
  <c r="S170" i="16"/>
  <c r="R170" i="16"/>
  <c r="Q170" i="16"/>
  <c r="P170" i="16"/>
  <c r="O170" i="16"/>
  <c r="N170" i="16"/>
  <c r="M170" i="16"/>
  <c r="L170" i="16"/>
  <c r="K170" i="16"/>
  <c r="J170" i="16"/>
  <c r="I170" i="16"/>
  <c r="H170" i="16"/>
  <c r="G170" i="16"/>
  <c r="F170" i="16"/>
  <c r="E170" i="16"/>
  <c r="D170" i="16"/>
  <c r="T169" i="16"/>
  <c r="S169" i="16"/>
  <c r="R169" i="16"/>
  <c r="Q169" i="16"/>
  <c r="P169" i="16"/>
  <c r="O169" i="16"/>
  <c r="N169" i="16"/>
  <c r="M169" i="16"/>
  <c r="L169" i="16"/>
  <c r="K169" i="16"/>
  <c r="J169" i="16"/>
  <c r="I169" i="16"/>
  <c r="H169" i="16"/>
  <c r="G169" i="16"/>
  <c r="F169" i="16"/>
  <c r="E169" i="16"/>
  <c r="D169" i="16"/>
  <c r="T168" i="16"/>
  <c r="R168" i="16"/>
  <c r="Q168" i="16"/>
  <c r="P168" i="16"/>
  <c r="O168" i="16"/>
  <c r="N168" i="16"/>
  <c r="M168" i="16"/>
  <c r="L168" i="16"/>
  <c r="K168" i="16"/>
  <c r="J168" i="16"/>
  <c r="I168" i="16"/>
  <c r="H168" i="16"/>
  <c r="G168" i="16"/>
  <c r="F168" i="16"/>
  <c r="E168" i="16"/>
  <c r="D168" i="16"/>
  <c r="T167" i="16"/>
  <c r="S167" i="16"/>
  <c r="R167" i="16"/>
  <c r="Q167" i="16"/>
  <c r="P167" i="16"/>
  <c r="O167" i="16"/>
  <c r="N167" i="16"/>
  <c r="M167" i="16"/>
  <c r="L167" i="16"/>
  <c r="K167" i="16"/>
  <c r="J167" i="16"/>
  <c r="I167" i="16"/>
  <c r="H167" i="16"/>
  <c r="G167" i="16"/>
  <c r="F167" i="16"/>
  <c r="E167" i="16"/>
  <c r="D167" i="16"/>
  <c r="T166" i="16"/>
  <c r="R166" i="16"/>
  <c r="Q166" i="16"/>
  <c r="P166" i="16"/>
  <c r="O166" i="16"/>
  <c r="N166" i="16"/>
  <c r="M166" i="16"/>
  <c r="L166" i="16"/>
  <c r="K166" i="16"/>
  <c r="J166" i="16"/>
  <c r="I166" i="16"/>
  <c r="H166" i="16"/>
  <c r="G166" i="16"/>
  <c r="F166" i="16"/>
  <c r="E166" i="16"/>
  <c r="D166" i="16"/>
  <c r="T165" i="16"/>
  <c r="S165" i="16"/>
  <c r="R165" i="16"/>
  <c r="Q165" i="16"/>
  <c r="P165" i="16"/>
  <c r="O165" i="16"/>
  <c r="N165" i="16"/>
  <c r="M165" i="16"/>
  <c r="L165" i="16"/>
  <c r="K165" i="16"/>
  <c r="J165" i="16"/>
  <c r="I165" i="16"/>
  <c r="H165" i="16"/>
  <c r="G165" i="16"/>
  <c r="F165" i="16"/>
  <c r="E165" i="16"/>
  <c r="D165" i="16"/>
  <c r="T164" i="16"/>
  <c r="R164" i="16"/>
  <c r="Q164" i="16"/>
  <c r="P164" i="16"/>
  <c r="O164" i="16"/>
  <c r="N164" i="16"/>
  <c r="M164" i="16"/>
  <c r="L164" i="16"/>
  <c r="K164" i="16"/>
  <c r="J164" i="16"/>
  <c r="I164" i="16"/>
  <c r="H164" i="16"/>
  <c r="G164" i="16"/>
  <c r="F164" i="16"/>
  <c r="E164" i="16"/>
  <c r="D164" i="16"/>
  <c r="T163" i="16"/>
  <c r="S163" i="16"/>
  <c r="R163" i="16"/>
  <c r="Q163" i="16"/>
  <c r="P163" i="16"/>
  <c r="O163" i="16"/>
  <c r="N163" i="16"/>
  <c r="M163" i="16"/>
  <c r="L163" i="16"/>
  <c r="K163" i="16"/>
  <c r="J163" i="16"/>
  <c r="I163" i="16"/>
  <c r="H163" i="16"/>
  <c r="G163" i="16"/>
  <c r="F163" i="16"/>
  <c r="E163" i="16"/>
  <c r="D163" i="16"/>
  <c r="T162" i="16"/>
  <c r="S162" i="16"/>
  <c r="R162" i="16"/>
  <c r="Q162" i="16"/>
  <c r="P162" i="16"/>
  <c r="O162" i="16"/>
  <c r="N162" i="16"/>
  <c r="M162" i="16"/>
  <c r="L162" i="16"/>
  <c r="K162" i="16"/>
  <c r="J162" i="16"/>
  <c r="I162" i="16"/>
  <c r="H162" i="16"/>
  <c r="G162" i="16"/>
  <c r="F162" i="16"/>
  <c r="E162" i="16"/>
  <c r="D162" i="16"/>
  <c r="T161" i="16"/>
  <c r="S161" i="16"/>
  <c r="R161" i="16"/>
  <c r="Q161" i="16"/>
  <c r="P161" i="16"/>
  <c r="O161" i="16"/>
  <c r="N161" i="16"/>
  <c r="M161" i="16"/>
  <c r="L161" i="16"/>
  <c r="K161" i="16"/>
  <c r="J161" i="16"/>
  <c r="I161" i="16"/>
  <c r="H161" i="16"/>
  <c r="G161" i="16"/>
  <c r="F161" i="16"/>
  <c r="E161" i="16"/>
  <c r="D161" i="16"/>
  <c r="T160" i="16"/>
  <c r="R160" i="16"/>
  <c r="Q160" i="16"/>
  <c r="P160" i="16"/>
  <c r="O160" i="16"/>
  <c r="N160" i="16"/>
  <c r="M160" i="16"/>
  <c r="L160" i="16"/>
  <c r="K160" i="16"/>
  <c r="J160" i="16"/>
  <c r="I160" i="16"/>
  <c r="H160" i="16"/>
  <c r="G160" i="16"/>
  <c r="F160" i="16"/>
  <c r="E160" i="16"/>
  <c r="D160" i="16"/>
  <c r="T159" i="16"/>
  <c r="S159" i="16"/>
  <c r="R159" i="16"/>
  <c r="Q159" i="16"/>
  <c r="P159" i="16"/>
  <c r="O159" i="16"/>
  <c r="N159" i="16"/>
  <c r="M159" i="16"/>
  <c r="L159" i="16"/>
  <c r="K159" i="16"/>
  <c r="J159" i="16"/>
  <c r="I159" i="16"/>
  <c r="H159" i="16"/>
  <c r="G159" i="16"/>
  <c r="F159" i="16"/>
  <c r="E159" i="16"/>
  <c r="D159" i="16"/>
  <c r="T158" i="16"/>
  <c r="R158" i="16"/>
  <c r="Q158" i="16"/>
  <c r="P158" i="16"/>
  <c r="O158" i="16"/>
  <c r="N158" i="16"/>
  <c r="M158" i="16"/>
  <c r="L158" i="16"/>
  <c r="K158" i="16"/>
  <c r="J158" i="16"/>
  <c r="I158" i="16"/>
  <c r="H158" i="16"/>
  <c r="G158" i="16"/>
  <c r="F158" i="16"/>
  <c r="E158" i="16"/>
  <c r="D158" i="16"/>
  <c r="T157" i="16"/>
  <c r="S157" i="16"/>
  <c r="R157" i="16"/>
  <c r="Q157" i="16"/>
  <c r="P157" i="16"/>
  <c r="O157" i="16"/>
  <c r="N157" i="16"/>
  <c r="M157" i="16"/>
  <c r="L157" i="16"/>
  <c r="K157" i="16"/>
  <c r="J157" i="16"/>
  <c r="I157" i="16"/>
  <c r="H157" i="16"/>
  <c r="G157" i="16"/>
  <c r="F157" i="16"/>
  <c r="E157" i="16"/>
  <c r="D157" i="16"/>
  <c r="T156" i="16"/>
  <c r="R156" i="16"/>
  <c r="Q156" i="16"/>
  <c r="P156" i="16"/>
  <c r="O156" i="16"/>
  <c r="N156" i="16"/>
  <c r="M156" i="16"/>
  <c r="L156" i="16"/>
  <c r="K156" i="16"/>
  <c r="J156" i="16"/>
  <c r="I156" i="16"/>
  <c r="H156" i="16"/>
  <c r="G156" i="16"/>
  <c r="F156" i="16"/>
  <c r="E156" i="16"/>
  <c r="D156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T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T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T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T147" i="16"/>
  <c r="S147" i="16"/>
  <c r="R147" i="16"/>
  <c r="Q147" i="16"/>
  <c r="P147" i="16"/>
  <c r="O147" i="16"/>
  <c r="N147" i="16"/>
  <c r="M147" i="16"/>
  <c r="L147" i="16"/>
  <c r="K147" i="16"/>
  <c r="J147" i="16"/>
  <c r="I147" i="16"/>
  <c r="H147" i="16"/>
  <c r="G147" i="16"/>
  <c r="F147" i="16"/>
  <c r="E147" i="16"/>
  <c r="D147" i="16"/>
  <c r="T146" i="16"/>
  <c r="S146" i="16"/>
  <c r="R146" i="16"/>
  <c r="Q146" i="16"/>
  <c r="P146" i="16"/>
  <c r="O146" i="16"/>
  <c r="N146" i="16"/>
  <c r="M146" i="16"/>
  <c r="L146" i="16"/>
  <c r="K146" i="16"/>
  <c r="J146" i="16"/>
  <c r="I146" i="16"/>
  <c r="H146" i="16"/>
  <c r="G146" i="16"/>
  <c r="F146" i="16"/>
  <c r="E146" i="16"/>
  <c r="D146" i="16"/>
  <c r="T145" i="16"/>
  <c r="S145" i="16"/>
  <c r="R145" i="16"/>
  <c r="Q145" i="16"/>
  <c r="P145" i="16"/>
  <c r="O145" i="16"/>
  <c r="N145" i="16"/>
  <c r="M145" i="16"/>
  <c r="L145" i="16"/>
  <c r="K145" i="16"/>
  <c r="J145" i="16"/>
  <c r="I145" i="16"/>
  <c r="H145" i="16"/>
  <c r="G145" i="16"/>
  <c r="F145" i="16"/>
  <c r="E145" i="16"/>
  <c r="D145" i="16"/>
  <c r="T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T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T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T136" i="16"/>
  <c r="R136" i="16"/>
  <c r="Q136" i="16"/>
  <c r="P136" i="16"/>
  <c r="O136" i="16"/>
  <c r="N136" i="16"/>
  <c r="M136" i="16"/>
  <c r="L136" i="16"/>
  <c r="K136" i="16"/>
  <c r="J136" i="16"/>
  <c r="I136" i="16"/>
  <c r="H136" i="16"/>
  <c r="G136" i="16"/>
  <c r="F136" i="16"/>
  <c r="E136" i="16"/>
  <c r="D136" i="16"/>
  <c r="T135" i="16"/>
  <c r="S135" i="16"/>
  <c r="R135" i="16"/>
  <c r="Q135" i="16"/>
  <c r="P135" i="16"/>
  <c r="O135" i="16"/>
  <c r="N135" i="16"/>
  <c r="M135" i="16"/>
  <c r="L135" i="16"/>
  <c r="K135" i="16"/>
  <c r="J135" i="16"/>
  <c r="I135" i="16"/>
  <c r="H135" i="16"/>
  <c r="G135" i="16"/>
  <c r="F135" i="16"/>
  <c r="E135" i="16"/>
  <c r="D135" i="16"/>
  <c r="T134" i="16"/>
  <c r="S134" i="16"/>
  <c r="R134" i="16"/>
  <c r="Q134" i="16"/>
  <c r="P134" i="16"/>
  <c r="O134" i="16"/>
  <c r="N134" i="16"/>
  <c r="M134" i="16"/>
  <c r="L134" i="16"/>
  <c r="K134" i="16"/>
  <c r="J134" i="16"/>
  <c r="I134" i="16"/>
  <c r="H134" i="16"/>
  <c r="G134" i="16"/>
  <c r="F134" i="16"/>
  <c r="E134" i="16"/>
  <c r="D134" i="16"/>
  <c r="T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T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T125" i="16"/>
  <c r="R125" i="16"/>
  <c r="Q125" i="16"/>
  <c r="P125" i="16"/>
  <c r="O125" i="16"/>
  <c r="N125" i="16"/>
  <c r="M125" i="16"/>
  <c r="L125" i="16"/>
  <c r="K125" i="16"/>
  <c r="J125" i="16"/>
  <c r="I125" i="16"/>
  <c r="H125" i="16"/>
  <c r="G125" i="16"/>
  <c r="F125" i="16"/>
  <c r="E125" i="16"/>
  <c r="D125" i="16"/>
  <c r="T124" i="16"/>
  <c r="S124" i="16"/>
  <c r="R124" i="16"/>
  <c r="Q124" i="16"/>
  <c r="P124" i="16"/>
  <c r="O124" i="16"/>
  <c r="N124" i="16"/>
  <c r="M124" i="16"/>
  <c r="L124" i="16"/>
  <c r="K124" i="16"/>
  <c r="J124" i="16"/>
  <c r="I124" i="16"/>
  <c r="H124" i="16"/>
  <c r="G124" i="16"/>
  <c r="F124" i="16"/>
  <c r="E124" i="16"/>
  <c r="D124" i="16"/>
  <c r="T123" i="16"/>
  <c r="S123" i="16"/>
  <c r="R123" i="16"/>
  <c r="Q123" i="16"/>
  <c r="P123" i="16"/>
  <c r="O123" i="16"/>
  <c r="N123" i="16"/>
  <c r="M123" i="16"/>
  <c r="L123" i="16"/>
  <c r="K123" i="16"/>
  <c r="J123" i="16"/>
  <c r="I123" i="16"/>
  <c r="H123" i="16"/>
  <c r="G123" i="16"/>
  <c r="F123" i="16"/>
  <c r="E123" i="16"/>
  <c r="D123" i="16"/>
  <c r="T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T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T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T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T114" i="16"/>
  <c r="R114" i="16"/>
  <c r="Q114" i="16"/>
  <c r="P114" i="16"/>
  <c r="O114" i="16"/>
  <c r="N114" i="16"/>
  <c r="M114" i="16"/>
  <c r="L114" i="16"/>
  <c r="K114" i="16"/>
  <c r="J114" i="16"/>
  <c r="I114" i="16"/>
  <c r="H114" i="16"/>
  <c r="G114" i="16"/>
  <c r="F114" i="16"/>
  <c r="E114" i="16"/>
  <c r="D114" i="16"/>
  <c r="T113" i="16"/>
  <c r="S113" i="16"/>
  <c r="R113" i="16"/>
  <c r="Q113" i="16"/>
  <c r="P113" i="16"/>
  <c r="O113" i="16"/>
  <c r="N113" i="16"/>
  <c r="M113" i="16"/>
  <c r="L113" i="16"/>
  <c r="K113" i="16"/>
  <c r="J113" i="16"/>
  <c r="I113" i="16"/>
  <c r="H113" i="16"/>
  <c r="G113" i="16"/>
  <c r="F113" i="16"/>
  <c r="E113" i="16"/>
  <c r="D113" i="16"/>
  <c r="T112" i="16"/>
  <c r="S112" i="16"/>
  <c r="R112" i="16"/>
  <c r="Q112" i="16"/>
  <c r="P112" i="16"/>
  <c r="O112" i="16"/>
  <c r="N112" i="16"/>
  <c r="M112" i="16"/>
  <c r="L112" i="16"/>
  <c r="K112" i="16"/>
  <c r="J112" i="16"/>
  <c r="I112" i="16"/>
  <c r="H112" i="16"/>
  <c r="G112" i="16"/>
  <c r="F112" i="16"/>
  <c r="E112" i="16"/>
  <c r="D112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T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T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T103" i="16"/>
  <c r="S103" i="16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T102" i="16"/>
  <c r="S102" i="16"/>
  <c r="R102" i="16"/>
  <c r="Q102" i="16"/>
  <c r="P102" i="16"/>
  <c r="O102" i="16"/>
  <c r="N102" i="16"/>
  <c r="M102" i="16"/>
  <c r="L102" i="16"/>
  <c r="K102" i="16"/>
  <c r="J102" i="16"/>
  <c r="I102" i="16"/>
  <c r="H102" i="16"/>
  <c r="G102" i="16"/>
  <c r="F102" i="16"/>
  <c r="E102" i="16"/>
  <c r="D102" i="16"/>
  <c r="T101" i="16"/>
  <c r="R101" i="16"/>
  <c r="Q101" i="16"/>
  <c r="P101" i="16"/>
  <c r="O101" i="16"/>
  <c r="N101" i="16"/>
  <c r="M101" i="16"/>
  <c r="L101" i="16"/>
  <c r="K101" i="16"/>
  <c r="J101" i="16"/>
  <c r="I101" i="16"/>
  <c r="H101" i="16"/>
  <c r="G101" i="16"/>
  <c r="F101" i="16"/>
  <c r="E101" i="16"/>
  <c r="D101" i="16"/>
  <c r="T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T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T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T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T92" i="16"/>
  <c r="R92" i="16"/>
  <c r="Q92" i="16"/>
  <c r="P92" i="16"/>
  <c r="O92" i="16"/>
  <c r="N92" i="16"/>
  <c r="M92" i="16"/>
  <c r="L92" i="16"/>
  <c r="K92" i="16"/>
  <c r="J92" i="16"/>
  <c r="I92" i="16"/>
  <c r="H92" i="16"/>
  <c r="G92" i="16"/>
  <c r="F92" i="16"/>
  <c r="E92" i="16"/>
  <c r="D92" i="16"/>
  <c r="T91" i="16"/>
  <c r="R91" i="16"/>
  <c r="Q91" i="16"/>
  <c r="P91" i="16"/>
  <c r="O91" i="16"/>
  <c r="N91" i="16"/>
  <c r="M91" i="16"/>
  <c r="L91" i="16"/>
  <c r="K91" i="16"/>
  <c r="J91" i="16"/>
  <c r="I91" i="16"/>
  <c r="H91" i="16"/>
  <c r="G91" i="16"/>
  <c r="F91" i="16"/>
  <c r="E91" i="16"/>
  <c r="D91" i="16"/>
  <c r="T90" i="16"/>
  <c r="S90" i="16"/>
  <c r="R90" i="16"/>
  <c r="Q90" i="16"/>
  <c r="P90" i="16"/>
  <c r="O90" i="16"/>
  <c r="N90" i="16"/>
  <c r="M90" i="16"/>
  <c r="L90" i="16"/>
  <c r="K90" i="16"/>
  <c r="J90" i="16"/>
  <c r="I90" i="16"/>
  <c r="H90" i="16"/>
  <c r="G90" i="16"/>
  <c r="F90" i="16"/>
  <c r="E90" i="16"/>
  <c r="D90" i="16"/>
  <c r="T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T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T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T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T81" i="16"/>
  <c r="R81" i="16"/>
  <c r="Q81" i="16"/>
  <c r="P81" i="16"/>
  <c r="O81" i="16"/>
  <c r="N81" i="16"/>
  <c r="M81" i="16"/>
  <c r="L81" i="16"/>
  <c r="K81" i="16"/>
  <c r="J81" i="16"/>
  <c r="I81" i="16"/>
  <c r="H81" i="16"/>
  <c r="G81" i="16"/>
  <c r="F81" i="16"/>
  <c r="E81" i="16"/>
  <c r="D81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T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T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T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T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T70" i="16"/>
  <c r="S70" i="16"/>
  <c r="R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70" i="16"/>
  <c r="T69" i="16"/>
  <c r="R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69" i="16"/>
  <c r="T68" i="16"/>
  <c r="R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68" i="16"/>
  <c r="T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T66" i="16"/>
  <c r="S66" i="16"/>
  <c r="R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66" i="16"/>
  <c r="T65" i="16"/>
  <c r="R65" i="16"/>
  <c r="Q65" i="16"/>
  <c r="P65" i="16"/>
  <c r="O65" i="16"/>
  <c r="N65" i="16"/>
  <c r="M65" i="16"/>
  <c r="L65" i="16"/>
  <c r="K65" i="16"/>
  <c r="J65" i="16"/>
  <c r="I65" i="16"/>
  <c r="H65" i="16"/>
  <c r="G65" i="16"/>
  <c r="F65" i="16"/>
  <c r="E65" i="16"/>
  <c r="D65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H64" i="16"/>
  <c r="G64" i="16"/>
  <c r="F64" i="16"/>
  <c r="E64" i="16"/>
  <c r="D64" i="16"/>
  <c r="T63" i="16"/>
  <c r="S63" i="16"/>
  <c r="R63" i="16"/>
  <c r="Q63" i="16"/>
  <c r="P63" i="16"/>
  <c r="O63" i="16"/>
  <c r="N63" i="16"/>
  <c r="M63" i="16"/>
  <c r="L63" i="16"/>
  <c r="K63" i="16"/>
  <c r="J63" i="16"/>
  <c r="I63" i="16"/>
  <c r="H63" i="16"/>
  <c r="G63" i="16"/>
  <c r="F63" i="16"/>
  <c r="E63" i="16"/>
  <c r="D63" i="16"/>
  <c r="T62" i="16"/>
  <c r="S62" i="16"/>
  <c r="R62" i="16"/>
  <c r="Q62" i="16"/>
  <c r="P62" i="16"/>
  <c r="O62" i="16"/>
  <c r="N62" i="16"/>
  <c r="M62" i="16"/>
  <c r="L62" i="16"/>
  <c r="K62" i="16"/>
  <c r="J62" i="16"/>
  <c r="I62" i="16"/>
  <c r="H62" i="16"/>
  <c r="G62" i="16"/>
  <c r="F62" i="16"/>
  <c r="E62" i="16"/>
  <c r="D62" i="16"/>
  <c r="T61" i="16"/>
  <c r="R61" i="16"/>
  <c r="Q61" i="16"/>
  <c r="P61" i="16"/>
  <c r="O61" i="16"/>
  <c r="N61" i="16"/>
  <c r="M61" i="16"/>
  <c r="L61" i="16"/>
  <c r="K61" i="16"/>
  <c r="J61" i="16"/>
  <c r="I61" i="16"/>
  <c r="H61" i="16"/>
  <c r="G61" i="16"/>
  <c r="F61" i="16"/>
  <c r="E61" i="16"/>
  <c r="D61" i="16"/>
  <c r="T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T59" i="16"/>
  <c r="R59" i="16"/>
  <c r="Q59" i="16"/>
  <c r="P59" i="16"/>
  <c r="O59" i="16"/>
  <c r="N59" i="16"/>
  <c r="M59" i="16"/>
  <c r="L59" i="16"/>
  <c r="K59" i="16"/>
  <c r="J59" i="16"/>
  <c r="I59" i="16"/>
  <c r="H59" i="16"/>
  <c r="G59" i="16"/>
  <c r="F59" i="16"/>
  <c r="E59" i="16"/>
  <c r="D59" i="16"/>
  <c r="T58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F58" i="16"/>
  <c r="E58" i="16"/>
  <c r="D58" i="16"/>
  <c r="T57" i="16"/>
  <c r="R57" i="16"/>
  <c r="Q57" i="16"/>
  <c r="P57" i="16"/>
  <c r="O57" i="16"/>
  <c r="N57" i="16"/>
  <c r="M57" i="16"/>
  <c r="L57" i="16"/>
  <c r="K57" i="16"/>
  <c r="J57" i="16"/>
  <c r="I57" i="16"/>
  <c r="H57" i="16"/>
  <c r="G57" i="16"/>
  <c r="F57" i="16"/>
  <c r="E57" i="16"/>
  <c r="D57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T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T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T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T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T46" i="16"/>
  <c r="S46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T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T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T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T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T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T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T26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T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T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T5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F4" i="16"/>
  <c r="E4" i="16"/>
  <c r="D4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E2" i="16"/>
  <c r="D2" i="16"/>
  <c r="T48" i="14"/>
  <c r="U349" i="16" s="1"/>
  <c r="T47" i="14"/>
  <c r="U348" i="16" s="1"/>
  <c r="T46" i="14"/>
  <c r="U347" i="16" s="1"/>
  <c r="T45" i="14"/>
  <c r="U346" i="16" s="1"/>
  <c r="T44" i="14"/>
  <c r="U345" i="16" s="1"/>
  <c r="T43" i="14"/>
  <c r="U344" i="16" s="1"/>
  <c r="T42" i="14"/>
  <c r="U343" i="16" s="1"/>
  <c r="T41" i="14"/>
  <c r="U342" i="16" s="1"/>
  <c r="T40" i="14"/>
  <c r="U341" i="16" s="1"/>
  <c r="T39" i="14"/>
  <c r="U340" i="16" s="1"/>
  <c r="T38" i="14"/>
  <c r="U339" i="16" s="1"/>
  <c r="T37" i="14"/>
  <c r="U338" i="16" s="1"/>
  <c r="T36" i="14"/>
  <c r="U337" i="16" s="1"/>
  <c r="T35" i="14"/>
  <c r="U336" i="16" s="1"/>
  <c r="T34" i="14"/>
  <c r="U335" i="16" s="1"/>
  <c r="T33" i="14"/>
  <c r="U334" i="16" s="1"/>
  <c r="T32" i="14"/>
  <c r="U333" i="16" s="1"/>
  <c r="T31" i="14"/>
  <c r="U332" i="16" s="1"/>
  <c r="T30" i="14"/>
  <c r="U331" i="16" s="1"/>
  <c r="T29" i="14"/>
  <c r="U330" i="16" s="1"/>
  <c r="T28" i="14"/>
  <c r="U329" i="16" s="1"/>
  <c r="T27" i="14"/>
  <c r="U328" i="16" s="1"/>
  <c r="T26" i="14"/>
  <c r="U327" i="16" s="1"/>
  <c r="T25" i="14"/>
  <c r="U326" i="16" s="1"/>
  <c r="T24" i="14"/>
  <c r="U325" i="16" s="1"/>
  <c r="T23" i="14"/>
  <c r="U324" i="16" s="1"/>
  <c r="T22" i="14"/>
  <c r="U323" i="16" s="1"/>
  <c r="T21" i="14"/>
  <c r="U322" i="16" s="1"/>
  <c r="T20" i="14"/>
  <c r="U321" i="16" s="1"/>
  <c r="T19" i="14"/>
  <c r="U320" i="16" s="1"/>
  <c r="T18" i="14"/>
  <c r="U319" i="16" s="1"/>
  <c r="T17" i="14"/>
  <c r="U318" i="16" s="1"/>
  <c r="T16" i="14"/>
  <c r="U317" i="16" s="1"/>
  <c r="T15" i="14"/>
  <c r="U316" i="16" s="1"/>
  <c r="T14" i="14"/>
  <c r="U315" i="16" s="1"/>
  <c r="T13" i="14"/>
  <c r="U314" i="16" s="1"/>
  <c r="T12" i="14"/>
  <c r="U313" i="16" s="1"/>
  <c r="T11" i="14"/>
  <c r="U312" i="16" s="1"/>
  <c r="T10" i="14"/>
  <c r="U311" i="16" s="1"/>
  <c r="T9" i="14"/>
  <c r="U310" i="16" s="1"/>
  <c r="T8" i="14"/>
  <c r="U309" i="16" s="1"/>
  <c r="T7" i="14"/>
  <c r="U308" i="16" s="1"/>
  <c r="T6" i="14"/>
  <c r="U307" i="16" s="1"/>
  <c r="T5" i="14"/>
  <c r="U306" i="16" s="1"/>
  <c r="T4" i="14"/>
  <c r="U305" i="16" s="1"/>
  <c r="T3" i="14"/>
  <c r="U304" i="16" s="1"/>
  <c r="T2" i="14"/>
  <c r="U303" i="16" s="1"/>
  <c r="T41" i="13"/>
  <c r="U302" i="16" s="1"/>
  <c r="T40" i="13"/>
  <c r="U301" i="16" s="1"/>
  <c r="T39" i="13"/>
  <c r="U300" i="16" s="1"/>
  <c r="T38" i="13"/>
  <c r="U299" i="16" s="1"/>
  <c r="T37" i="13"/>
  <c r="U298" i="16" s="1"/>
  <c r="T36" i="13"/>
  <c r="U297" i="16" s="1"/>
  <c r="T35" i="13"/>
  <c r="U296" i="16" s="1"/>
  <c r="T34" i="13"/>
  <c r="U295" i="16" s="1"/>
  <c r="T33" i="13"/>
  <c r="U294" i="16" s="1"/>
  <c r="T32" i="13"/>
  <c r="U293" i="16" s="1"/>
  <c r="T31" i="13"/>
  <c r="U292" i="16" s="1"/>
  <c r="T30" i="13"/>
  <c r="U291" i="16" s="1"/>
  <c r="T29" i="13"/>
  <c r="U290" i="16" s="1"/>
  <c r="T28" i="13"/>
  <c r="U289" i="16" s="1"/>
  <c r="T27" i="13"/>
  <c r="U288" i="16" s="1"/>
  <c r="T26" i="13"/>
  <c r="U287" i="16" s="1"/>
  <c r="T25" i="13"/>
  <c r="U286" i="16" s="1"/>
  <c r="T24" i="13"/>
  <c r="U285" i="16" s="1"/>
  <c r="T23" i="13"/>
  <c r="U284" i="16" s="1"/>
  <c r="T22" i="13"/>
  <c r="U283" i="16" s="1"/>
  <c r="T21" i="13"/>
  <c r="U282" i="16" s="1"/>
  <c r="T20" i="13"/>
  <c r="U281" i="16" s="1"/>
  <c r="T19" i="13"/>
  <c r="U280" i="16" s="1"/>
  <c r="T18" i="13"/>
  <c r="U279" i="16" s="1"/>
  <c r="T17" i="13"/>
  <c r="U278" i="16" s="1"/>
  <c r="T16" i="13"/>
  <c r="U277" i="16" s="1"/>
  <c r="T15" i="13"/>
  <c r="U276" i="16" s="1"/>
  <c r="T14" i="13"/>
  <c r="U275" i="16" s="1"/>
  <c r="T13" i="13"/>
  <c r="U274" i="16" s="1"/>
  <c r="T12" i="13"/>
  <c r="U273" i="16" s="1"/>
  <c r="T11" i="13"/>
  <c r="U272" i="16" s="1"/>
  <c r="T10" i="13"/>
  <c r="U271" i="16" s="1"/>
  <c r="T9" i="13"/>
  <c r="U270" i="16" s="1"/>
  <c r="T8" i="13"/>
  <c r="U269" i="16" s="1"/>
  <c r="T7" i="13"/>
  <c r="U268" i="16" s="1"/>
  <c r="T6" i="13"/>
  <c r="U267" i="16" s="1"/>
  <c r="T5" i="13"/>
  <c r="U266" i="16" s="1"/>
  <c r="T4" i="13"/>
  <c r="U265" i="16" s="1"/>
  <c r="T3" i="13"/>
  <c r="U264" i="16" s="1"/>
  <c r="T2" i="13"/>
  <c r="U263" i="16" s="1"/>
  <c r="T17" i="12"/>
  <c r="U262" i="16" s="1"/>
  <c r="T16" i="12"/>
  <c r="U261" i="16" s="1"/>
  <c r="T15" i="12"/>
  <c r="U260" i="16" s="1"/>
  <c r="T14" i="12"/>
  <c r="U259" i="16" s="1"/>
  <c r="T13" i="12"/>
  <c r="U258" i="16" s="1"/>
  <c r="T9" i="12"/>
  <c r="U254" i="16" s="1"/>
  <c r="T7" i="12"/>
  <c r="U252" i="16" s="1"/>
  <c r="T6" i="12"/>
  <c r="U251" i="16" s="1"/>
  <c r="U250" i="16"/>
  <c r="T4" i="12"/>
  <c r="U248" i="16" s="1"/>
  <c r="T3" i="12"/>
  <c r="U247" i="16" s="1"/>
  <c r="T2" i="12"/>
  <c r="U246" i="16" s="1"/>
  <c r="T24" i="11"/>
  <c r="U245" i="16" s="1"/>
  <c r="T23" i="11"/>
  <c r="U244" i="16" s="1"/>
  <c r="T22" i="11"/>
  <c r="U243" i="16" s="1"/>
  <c r="T21" i="11"/>
  <c r="U242" i="16" s="1"/>
  <c r="T19" i="11"/>
  <c r="U240" i="16" s="1"/>
  <c r="T18" i="11"/>
  <c r="U239" i="16" s="1"/>
  <c r="T17" i="11"/>
  <c r="U238" i="16" s="1"/>
  <c r="T16" i="11"/>
  <c r="U237" i="16" s="1"/>
  <c r="T15" i="11"/>
  <c r="U236" i="16" s="1"/>
  <c r="T14" i="11"/>
  <c r="U235" i="16" s="1"/>
  <c r="T13" i="11"/>
  <c r="U234" i="16" s="1"/>
  <c r="T11" i="11"/>
  <c r="U232" i="16" s="1"/>
  <c r="T10" i="11"/>
  <c r="U231" i="16" s="1"/>
  <c r="T9" i="11"/>
  <c r="U230" i="16" s="1"/>
  <c r="T8" i="11"/>
  <c r="U229" i="16" s="1"/>
  <c r="T7" i="11"/>
  <c r="U228" i="16" s="1"/>
  <c r="T6" i="11"/>
  <c r="U227" i="16" s="1"/>
  <c r="T5" i="11"/>
  <c r="U226" i="16" s="1"/>
  <c r="T4" i="11"/>
  <c r="U225" i="16" s="1"/>
  <c r="T3" i="11"/>
  <c r="U224" i="16" s="1"/>
  <c r="T2" i="11"/>
  <c r="U223" i="16" s="1"/>
  <c r="T31" i="10"/>
  <c r="U222" i="16" s="1"/>
  <c r="T30" i="10"/>
  <c r="U221" i="16" s="1"/>
  <c r="T29" i="10"/>
  <c r="U220" i="16" s="1"/>
  <c r="T27" i="10"/>
  <c r="U218" i="16" s="1"/>
  <c r="T26" i="10"/>
  <c r="U217" i="16" s="1"/>
  <c r="T25" i="10"/>
  <c r="U216" i="16" s="1"/>
  <c r="T24" i="10"/>
  <c r="U215" i="16" s="1"/>
  <c r="T23" i="10"/>
  <c r="U214" i="16" s="1"/>
  <c r="T22" i="10"/>
  <c r="U213" i="16" s="1"/>
  <c r="T21" i="10"/>
  <c r="U212" i="16" s="1"/>
  <c r="T19" i="10"/>
  <c r="U210" i="16" s="1"/>
  <c r="T18" i="10"/>
  <c r="U209" i="16" s="1"/>
  <c r="T17" i="10"/>
  <c r="U208" i="16" s="1"/>
  <c r="T16" i="10"/>
  <c r="U207" i="16" s="1"/>
  <c r="T15" i="10"/>
  <c r="U206" i="16" s="1"/>
  <c r="T14" i="10"/>
  <c r="U205" i="16" s="1"/>
  <c r="T13" i="10"/>
  <c r="U204" i="16" s="1"/>
  <c r="T11" i="10"/>
  <c r="U202" i="16" s="1"/>
  <c r="T10" i="10"/>
  <c r="U201" i="16" s="1"/>
  <c r="T9" i="10"/>
  <c r="U200" i="16" s="1"/>
  <c r="T8" i="10"/>
  <c r="U199" i="16" s="1"/>
  <c r="T7" i="10"/>
  <c r="U198" i="16" s="1"/>
  <c r="T6" i="10"/>
  <c r="U197" i="16" s="1"/>
  <c r="T5" i="10"/>
  <c r="U196" i="16" s="1"/>
  <c r="T4" i="10"/>
  <c r="U195" i="16" s="1"/>
  <c r="T3" i="10"/>
  <c r="U194" i="16" s="1"/>
  <c r="T2" i="10"/>
  <c r="U193" i="16" s="1"/>
  <c r="T55" i="9"/>
  <c r="U191" i="16" s="1"/>
  <c r="T53" i="9"/>
  <c r="U189" i="16" s="1"/>
  <c r="T51" i="9"/>
  <c r="U187" i="16" s="1"/>
  <c r="T50" i="9"/>
  <c r="U186" i="16" s="1"/>
  <c r="T49" i="9"/>
  <c r="U185" i="16" s="1"/>
  <c r="T47" i="9"/>
  <c r="U183" i="16" s="1"/>
  <c r="T45" i="9"/>
  <c r="U181" i="16" s="1"/>
  <c r="T43" i="9"/>
  <c r="U179" i="16" s="1"/>
  <c r="T42" i="9"/>
  <c r="U178" i="16" s="1"/>
  <c r="T41" i="9"/>
  <c r="U177" i="16" s="1"/>
  <c r="T39" i="9"/>
  <c r="U175" i="16" s="1"/>
  <c r="T37" i="9"/>
  <c r="U173" i="16" s="1"/>
  <c r="T35" i="9"/>
  <c r="U171" i="16" s="1"/>
  <c r="T34" i="9"/>
  <c r="U170" i="16" s="1"/>
  <c r="T33" i="9"/>
  <c r="U169" i="16" s="1"/>
  <c r="T31" i="9"/>
  <c r="U167" i="16" s="1"/>
  <c r="T29" i="9"/>
  <c r="U165" i="16" s="1"/>
  <c r="T27" i="9"/>
  <c r="U163" i="16" s="1"/>
  <c r="T26" i="9"/>
  <c r="U162" i="16" s="1"/>
  <c r="T25" i="9"/>
  <c r="U161" i="16" s="1"/>
  <c r="T23" i="9"/>
  <c r="U159" i="16" s="1"/>
  <c r="T21" i="9"/>
  <c r="U157" i="16" s="1"/>
  <c r="T19" i="9"/>
  <c r="U155" i="16" s="1"/>
  <c r="T18" i="9"/>
  <c r="U154" i="16" s="1"/>
  <c r="T17" i="9"/>
  <c r="U153" i="16" s="1"/>
  <c r="T15" i="9"/>
  <c r="U151" i="16" s="1"/>
  <c r="T13" i="9"/>
  <c r="U149" i="16" s="1"/>
  <c r="T11" i="9"/>
  <c r="U147" i="16" s="1"/>
  <c r="T10" i="9"/>
  <c r="U146" i="16" s="1"/>
  <c r="T9" i="9"/>
  <c r="U145" i="16" s="1"/>
  <c r="T7" i="9"/>
  <c r="U143" i="16" s="1"/>
  <c r="T5" i="9"/>
  <c r="U141" i="16" s="1"/>
  <c r="T4" i="9"/>
  <c r="U140" i="16" s="1"/>
  <c r="T3" i="9"/>
  <c r="U139" i="16" s="1"/>
  <c r="T2" i="9"/>
  <c r="U138" i="16" s="1"/>
  <c r="T10" i="8"/>
  <c r="U135" i="16" s="1"/>
  <c r="T9" i="8"/>
  <c r="U134" i="16" s="1"/>
  <c r="T7" i="8"/>
  <c r="U132" i="16" s="1"/>
  <c r="T6" i="8"/>
  <c r="U131" i="16" s="1"/>
  <c r="T5" i="8"/>
  <c r="U130" i="16" s="1"/>
  <c r="T4" i="8"/>
  <c r="U129" i="16" s="1"/>
  <c r="T3" i="8"/>
  <c r="U128" i="16" s="1"/>
  <c r="T2" i="8"/>
  <c r="U127" i="16" s="1"/>
  <c r="T19" i="7"/>
  <c r="U125" i="16" s="1"/>
  <c r="T18" i="7"/>
  <c r="U124" i="16" s="1"/>
  <c r="T17" i="7"/>
  <c r="U123" i="16" s="1"/>
  <c r="T16" i="7"/>
  <c r="U122" i="16" s="1"/>
  <c r="T15" i="7"/>
  <c r="U121" i="16" s="1"/>
  <c r="T14" i="7"/>
  <c r="U120" i="16" s="1"/>
  <c r="T13" i="7"/>
  <c r="U119" i="16" s="1"/>
  <c r="T11" i="7"/>
  <c r="U117" i="16" s="1"/>
  <c r="T10" i="7"/>
  <c r="U116" i="16" s="1"/>
  <c r="T9" i="7"/>
  <c r="U115" i="16" s="1"/>
  <c r="T8" i="7"/>
  <c r="U114" i="16" s="1"/>
  <c r="T7" i="7"/>
  <c r="U113" i="16" s="1"/>
  <c r="T6" i="7"/>
  <c r="U112" i="16" s="1"/>
  <c r="T5" i="7"/>
  <c r="U111" i="16" s="1"/>
  <c r="T4" i="7"/>
  <c r="U110" i="16" s="1"/>
  <c r="T3" i="7"/>
  <c r="U109" i="16" s="1"/>
  <c r="T2" i="7"/>
  <c r="U108" i="16" s="1"/>
  <c r="T79" i="6"/>
  <c r="U107" i="16" s="1"/>
  <c r="T78" i="6"/>
  <c r="U106" i="16" s="1"/>
  <c r="T77" i="6"/>
  <c r="U105" i="16" s="1"/>
  <c r="T76" i="6"/>
  <c r="U104" i="16" s="1"/>
  <c r="T75" i="6"/>
  <c r="U103" i="16" s="1"/>
  <c r="T74" i="6"/>
  <c r="U102" i="16" s="1"/>
  <c r="T73" i="6"/>
  <c r="U101" i="16" s="1"/>
  <c r="T72" i="6"/>
  <c r="U100" i="16" s="1"/>
  <c r="T71" i="6"/>
  <c r="U99" i="16" s="1"/>
  <c r="T70" i="6"/>
  <c r="U98" i="16" s="1"/>
  <c r="T68" i="6"/>
  <c r="U96" i="16" s="1"/>
  <c r="T67" i="6"/>
  <c r="U95" i="16" s="1"/>
  <c r="T66" i="6"/>
  <c r="U94" i="16" s="1"/>
  <c r="T65" i="6"/>
  <c r="U93" i="16" s="1"/>
  <c r="T64" i="6"/>
  <c r="U92" i="16" s="1"/>
  <c r="T63" i="6"/>
  <c r="U91" i="16" s="1"/>
  <c r="T62" i="6"/>
  <c r="U90" i="16" s="1"/>
  <c r="T61" i="6"/>
  <c r="U89" i="16" s="1"/>
  <c r="T60" i="6"/>
  <c r="U88" i="16" s="1"/>
  <c r="T59" i="6"/>
  <c r="U87" i="16" s="1"/>
  <c r="T58" i="6"/>
  <c r="U86" i="16" s="1"/>
  <c r="T57" i="6"/>
  <c r="U85" i="16" s="1"/>
  <c r="T56" i="6"/>
  <c r="U84" i="16" s="1"/>
  <c r="T55" i="6"/>
  <c r="U83" i="16" s="1"/>
  <c r="T54" i="6"/>
  <c r="U82" i="16" s="1"/>
  <c r="T53" i="6"/>
  <c r="U81" i="16" s="1"/>
  <c r="T52" i="6"/>
  <c r="U80" i="16" s="1"/>
  <c r="T51" i="6"/>
  <c r="U79" i="16" s="1"/>
  <c r="T50" i="6"/>
  <c r="U78" i="16" s="1"/>
  <c r="T49" i="6"/>
  <c r="U77" i="16" s="1"/>
  <c r="T48" i="6"/>
  <c r="U76" i="16" s="1"/>
  <c r="T47" i="6"/>
  <c r="U75" i="16" s="1"/>
  <c r="T46" i="6"/>
  <c r="U74" i="16" s="1"/>
  <c r="T45" i="6"/>
  <c r="U73" i="16" s="1"/>
  <c r="T44" i="6"/>
  <c r="U72" i="16" s="1"/>
  <c r="T43" i="6"/>
  <c r="U71" i="16" s="1"/>
  <c r="T42" i="6"/>
  <c r="U70" i="16" s="1"/>
  <c r="T41" i="6"/>
  <c r="U69" i="16" s="1"/>
  <c r="T40" i="6"/>
  <c r="U68" i="16" s="1"/>
  <c r="T39" i="6"/>
  <c r="U67" i="16" s="1"/>
  <c r="T38" i="6"/>
  <c r="U66" i="16" s="1"/>
  <c r="T37" i="6"/>
  <c r="U65" i="16" s="1"/>
  <c r="T36" i="6"/>
  <c r="U64" i="16" s="1"/>
  <c r="T35" i="6"/>
  <c r="U63" i="16" s="1"/>
  <c r="T34" i="6"/>
  <c r="U62" i="16" s="1"/>
  <c r="T33" i="6"/>
  <c r="U61" i="16" s="1"/>
  <c r="T32" i="6"/>
  <c r="U60" i="16" s="1"/>
  <c r="T31" i="6"/>
  <c r="U59" i="16" s="1"/>
  <c r="T30" i="6"/>
  <c r="U58" i="16" s="1"/>
  <c r="T28" i="6"/>
  <c r="U56" i="16" s="1"/>
  <c r="T27" i="6"/>
  <c r="U55" i="16" s="1"/>
  <c r="T26" i="6"/>
  <c r="U54" i="16" s="1"/>
  <c r="T25" i="6"/>
  <c r="U53" i="16" s="1"/>
  <c r="T24" i="6"/>
  <c r="U52" i="16" s="1"/>
  <c r="T23" i="6"/>
  <c r="U51" i="16" s="1"/>
  <c r="T22" i="6"/>
  <c r="U50" i="16" s="1"/>
  <c r="T21" i="6"/>
  <c r="U49" i="16" s="1"/>
  <c r="T20" i="6"/>
  <c r="U48" i="16" s="1"/>
  <c r="T19" i="6"/>
  <c r="U47" i="16" s="1"/>
  <c r="T18" i="6"/>
  <c r="U46" i="16" s="1"/>
  <c r="T17" i="6"/>
  <c r="U45" i="16" s="1"/>
  <c r="T16" i="6"/>
  <c r="U44" i="16" s="1"/>
  <c r="T15" i="6"/>
  <c r="U43" i="16" s="1"/>
  <c r="T14" i="6"/>
  <c r="U42" i="16" s="1"/>
  <c r="T13" i="6"/>
  <c r="U41" i="16" s="1"/>
  <c r="T12" i="6"/>
  <c r="U40" i="16" s="1"/>
  <c r="T11" i="6"/>
  <c r="U39" i="16" s="1"/>
  <c r="T10" i="6"/>
  <c r="U38" i="16" s="1"/>
  <c r="T9" i="6"/>
  <c r="U37" i="16" s="1"/>
  <c r="T8" i="6"/>
  <c r="U36" i="16" s="1"/>
  <c r="T7" i="6"/>
  <c r="U35" i="16" s="1"/>
  <c r="T6" i="6"/>
  <c r="U34" i="16" s="1"/>
  <c r="T5" i="6"/>
  <c r="U33" i="16" s="1"/>
  <c r="T4" i="6"/>
  <c r="U32" i="16" s="1"/>
  <c r="T3" i="6"/>
  <c r="U31" i="16" s="1"/>
  <c r="T2" i="6"/>
  <c r="T14" i="2"/>
  <c r="U29" i="16" s="1"/>
  <c r="T13" i="2"/>
  <c r="U28" i="16" s="1"/>
  <c r="T11" i="2"/>
  <c r="U26" i="16" s="1"/>
  <c r="T10" i="2"/>
  <c r="U25" i="16" s="1"/>
  <c r="T9" i="2"/>
  <c r="U24" i="16" s="1"/>
  <c r="T8" i="2"/>
  <c r="U23" i="16" s="1"/>
  <c r="T7" i="2"/>
  <c r="U22" i="16" s="1"/>
  <c r="T6" i="2"/>
  <c r="U21" i="16" s="1"/>
  <c r="T5" i="2"/>
  <c r="U20" i="16" s="1"/>
  <c r="T4" i="2"/>
  <c r="U19" i="16" s="1"/>
  <c r="T3" i="2"/>
  <c r="U18" i="16" s="1"/>
  <c r="T2" i="2"/>
  <c r="U17" i="16" s="1"/>
  <c r="T16" i="1"/>
  <c r="U16" i="16" s="1"/>
  <c r="T15" i="1"/>
  <c r="U15" i="16" s="1"/>
  <c r="T14" i="1"/>
  <c r="U14" i="16" s="1"/>
  <c r="T12" i="1"/>
  <c r="U12" i="16" s="1"/>
  <c r="T10" i="1"/>
  <c r="U10" i="16" s="1"/>
  <c r="T9" i="1"/>
  <c r="U9" i="16" s="1"/>
  <c r="T8" i="1"/>
  <c r="U8" i="16" s="1"/>
  <c r="T7" i="1"/>
  <c r="U7" i="16" s="1"/>
  <c r="T6" i="1"/>
  <c r="U6" i="16" s="1"/>
  <c r="T4" i="1"/>
  <c r="U4" i="16" s="1"/>
  <c r="T3" i="1"/>
  <c r="T2" i="1"/>
  <c r="U2" i="16" s="1"/>
  <c r="T26" i="11" l="1"/>
  <c r="D15" i="4" s="1"/>
  <c r="T10" i="12"/>
  <c r="U255" i="16" s="1"/>
  <c r="T5" i="12"/>
  <c r="U249" i="16" s="1"/>
  <c r="T8" i="12"/>
  <c r="U253" i="16" s="1"/>
  <c r="T11" i="12"/>
  <c r="U256" i="16" s="1"/>
  <c r="S233" i="16"/>
  <c r="S241" i="16"/>
  <c r="T12" i="10"/>
  <c r="U203" i="16" s="1"/>
  <c r="T20" i="10"/>
  <c r="U211" i="16" s="1"/>
  <c r="T28" i="10"/>
  <c r="U219" i="16" s="1"/>
  <c r="T12" i="9"/>
  <c r="U148" i="16" s="1"/>
  <c r="T20" i="9"/>
  <c r="U156" i="16" s="1"/>
  <c r="T28" i="9"/>
  <c r="U164" i="16" s="1"/>
  <c r="T36" i="9"/>
  <c r="U172" i="16" s="1"/>
  <c r="T44" i="9"/>
  <c r="U180" i="16" s="1"/>
  <c r="T52" i="9"/>
  <c r="U188" i="16" s="1"/>
  <c r="S144" i="16"/>
  <c r="S152" i="16"/>
  <c r="S160" i="16"/>
  <c r="S168" i="16"/>
  <c r="S176" i="16"/>
  <c r="S184" i="16"/>
  <c r="S192" i="16"/>
  <c r="T6" i="9"/>
  <c r="U142" i="16" s="1"/>
  <c r="T14" i="9"/>
  <c r="U150" i="16" s="1"/>
  <c r="T22" i="9"/>
  <c r="U158" i="16" s="1"/>
  <c r="T30" i="9"/>
  <c r="U166" i="16" s="1"/>
  <c r="T38" i="9"/>
  <c r="U174" i="16" s="1"/>
  <c r="T46" i="9"/>
  <c r="U182" i="16" s="1"/>
  <c r="T54" i="9"/>
  <c r="U190" i="16" s="1"/>
  <c r="S133" i="16"/>
  <c r="S136" i="16"/>
  <c r="S137" i="16"/>
  <c r="T12" i="7"/>
  <c r="U118" i="16" s="1"/>
  <c r="T20" i="7"/>
  <c r="U126" i="16" s="1"/>
  <c r="T29" i="6"/>
  <c r="U57" i="16" s="1"/>
  <c r="T69" i="6"/>
  <c r="U97" i="16" s="1"/>
  <c r="T81" i="6"/>
  <c r="D10" i="4" s="1"/>
  <c r="T13" i="1"/>
  <c r="U13" i="16" s="1"/>
  <c r="S11" i="16"/>
  <c r="T5" i="1"/>
  <c r="U5" i="16" s="1"/>
  <c r="T50" i="14"/>
  <c r="D18" i="4" s="1"/>
  <c r="U30" i="16"/>
  <c r="T43" i="13"/>
  <c r="D17" i="4" s="1"/>
  <c r="T14" i="8"/>
  <c r="D12" i="4" s="1"/>
  <c r="T16" i="2"/>
  <c r="D9" i="4" s="1"/>
  <c r="T22" i="7" l="1"/>
  <c r="D11" i="4" s="1"/>
  <c r="T19" i="12"/>
  <c r="D16" i="4" s="1"/>
  <c r="T33" i="10"/>
  <c r="D14" i="4" s="1"/>
  <c r="T58" i="9"/>
  <c r="D13" i="4" s="1"/>
  <c r="T18" i="1"/>
  <c r="D8" i="4" s="1"/>
  <c r="U351" i="16"/>
  <c r="D26" i="4" l="1"/>
</calcChain>
</file>

<file path=xl/sharedStrings.xml><?xml version="1.0" encoding="utf-8"?>
<sst xmlns="http://schemas.openxmlformats.org/spreadsheetml/2006/main" count="4656" uniqueCount="829">
  <si>
    <t>NFSP0598</t>
  </si>
  <si>
    <t>Høje Taastrup – Roskilde St. Fri strækning</t>
  </si>
  <si>
    <t>Tilbudsliste (TBL)</t>
  </si>
  <si>
    <t>Dato:</t>
  </si>
  <si>
    <t>Rev:</t>
  </si>
  <si>
    <t>5.0</t>
  </si>
  <si>
    <t>Udarbejdet af:</t>
  </si>
  <si>
    <t>[Åbent tekstfelt]</t>
  </si>
  <si>
    <t>Godkendt:</t>
  </si>
  <si>
    <t>Revisionslog</t>
  </si>
  <si>
    <t>Revision</t>
  </si>
  <si>
    <t>Int.</t>
  </si>
  <si>
    <t>Dato</t>
  </si>
  <si>
    <t>Beskrivelse af ændring</t>
  </si>
  <si>
    <t>1.0</t>
  </si>
  <si>
    <t>Første version</t>
  </si>
  <si>
    <t>2.0</t>
  </si>
  <si>
    <t>Se farvemarkeringer i bilag Høje Taastrup – Roskilde St. Fri strækning_NFSP0598_v2.xlsx</t>
  </si>
  <si>
    <t>3.0</t>
  </si>
  <si>
    <t>Se farvemarkeringer i bilag Høje Taastrup – Roskilde St. Fri strækning_NFSP0598_v3.xlsx</t>
  </si>
  <si>
    <t>4.0</t>
  </si>
  <si>
    <t>Se farvemarkeringer i bilag Høje Taastrup – Roskilde St. Fri strækning_NFSP0598_v4.xlsx</t>
  </si>
  <si>
    <t>Se farvemarkeringer i bilag Høje Taastrup – Roskilde St. Fri strækning_NFSP0598_v5.xlsx</t>
  </si>
  <si>
    <t xml:space="preserve">        </t>
  </si>
  <si>
    <t xml:space="preserve">         </t>
  </si>
  <si>
    <t>Tilbudsliste</t>
  </si>
  <si>
    <t xml:space="preserve">Undertegnede entreprenør tilbyder herved Banedanmark at udføre ydelser i henhold til udbudsmaterialet  vedr. </t>
  </si>
  <si>
    <t>NFSP0598 Høje Taastrup – Roskilde St. Fri strækning</t>
  </si>
  <si>
    <t>Hovedtilbudsliste</t>
  </si>
  <si>
    <t>FP</t>
  </si>
  <si>
    <t>Arbejdets art</t>
  </si>
  <si>
    <t>I alt 
DKK</t>
  </si>
  <si>
    <t>3</t>
  </si>
  <si>
    <t>Spor</t>
  </si>
  <si>
    <t>4</t>
  </si>
  <si>
    <t>Jord og ballast</t>
  </si>
  <si>
    <t>5</t>
  </si>
  <si>
    <t>Afvanding</t>
  </si>
  <si>
    <t>6</t>
  </si>
  <si>
    <t>Kabelomlægning og føringsveje</t>
  </si>
  <si>
    <t>8</t>
  </si>
  <si>
    <t>Perroner</t>
  </si>
  <si>
    <t>9</t>
  </si>
  <si>
    <t>Kørestrøm</t>
  </si>
  <si>
    <t>10</t>
  </si>
  <si>
    <t>Sikring</t>
  </si>
  <si>
    <t>12</t>
  </si>
  <si>
    <t>Broer og konstruktioner</t>
  </si>
  <si>
    <t>14</t>
  </si>
  <si>
    <t>Håndtering og bortskaffelse</t>
  </si>
  <si>
    <t>15</t>
  </si>
  <si>
    <t>Administration og arbejdsplads</t>
  </si>
  <si>
    <t>16</t>
  </si>
  <si>
    <t>Ændringsydelser</t>
  </si>
  <si>
    <t>Samlet tilbudssum</t>
  </si>
  <si>
    <t>Samlet tilbudssum skrevet:</t>
  </si>
  <si>
    <t>en-fire-ni-ni-fire-syv-fem-seks-seks/00</t>
  </si>
  <si>
    <t>Alle ovennævnte beløb vil blive tillagt moms efter gældende lov.</t>
  </si>
  <si>
    <t>Tilbuddet er afgivet i henhold til det i rettelsesblad(e) til de bydende nr.:</t>
  </si>
  <si>
    <t>1, 2 og 3</t>
  </si>
  <si>
    <t>anførte.</t>
  </si>
  <si>
    <t>Indeholder tilbuddet forbehold:</t>
  </si>
  <si>
    <t>Nej</t>
  </si>
  <si>
    <t>Evt. forbehold vedlagt som bilag nr.:</t>
  </si>
  <si>
    <t>Ingen</t>
  </si>
  <si>
    <r>
      <t xml:space="preserve">Bemyndiget til at </t>
    </r>
    <r>
      <rPr>
        <b/>
        <sz val="12"/>
        <rFont val="Calibri"/>
        <family val="2"/>
        <scheme val="minor"/>
      </rPr>
      <t>føre forhandlinger</t>
    </r>
    <r>
      <rPr>
        <sz val="12"/>
        <rFont val="Calibri"/>
        <family val="2"/>
        <scheme val="minor"/>
      </rPr>
      <t xml:space="preserve"> vedrørende nærværende tilbud, jf. KB er:</t>
    </r>
  </si>
  <si>
    <t>Sektionsdirektør</t>
  </si>
  <si>
    <t>Navn:</t>
  </si>
  <si>
    <t>Jacob Sanbeck Nielsen</t>
  </si>
  <si>
    <t>Firma:</t>
  </si>
  <si>
    <t>Aarsleff Rail A/S</t>
  </si>
  <si>
    <t>Mail:</t>
  </si>
  <si>
    <t>jsni@aarsleffrail.com</t>
  </si>
  <si>
    <t>Tlf.nr.:</t>
  </si>
  <si>
    <t>2027 4682</t>
  </si>
  <si>
    <t>Tilbudsgiverens underskrift er bindende for samtlige angivne priser og oplysninger i øvrigt i det samlede tilbud med tilhørende bilag.</t>
  </si>
  <si>
    <t>……………………………….den…………………………………………………………………………………</t>
  </si>
  <si>
    <t>………………………………….…………………………………………………………………………………</t>
  </si>
  <si>
    <t>(Underskrift)</t>
  </si>
  <si>
    <t>Fagpost (FP)
Hovedpost (HP)
Post (P)
Underpost (UP)</t>
  </si>
  <si>
    <t>Enhed</t>
  </si>
  <si>
    <t>Mængde
Forberedende arbejder</t>
  </si>
  <si>
    <t>Mængde
Stadie 1 -1.+ 2. hovedspor Htå -Ro spærret</t>
  </si>
  <si>
    <t>Mængde
Stadie 1a</t>
  </si>
  <si>
    <t>Mængde
Stadie 3 – 3. + 4. hovedspor Htå - Ro spærret</t>
  </si>
  <si>
    <t>Mængde
Stadie 3a</t>
  </si>
  <si>
    <t>Mængde
Stadie 2 – 2. + 3. hovedspor Htå – Ro spærret</t>
  </si>
  <si>
    <t>Mængde
Stadie 2a</t>
  </si>
  <si>
    <t>Mængde
Stadie 4 – 1. og 2. hovedspor Høje Taastrup – Roskilde spærret</t>
  </si>
  <si>
    <t>Mængde
Stadie 5 – 1 + 2 hsp Htå – Ro. Maskinelle arbejder på rammeaftale</t>
  </si>
  <si>
    <t>Mængde
Stadie 6 – Afsluttende manuelle arbejder</t>
  </si>
  <si>
    <t>Mængde
Stadie 7 -  3. og 4. hovedspor Høje Taastrup – Roskilde spærret. Manuelle arbejder</t>
  </si>
  <si>
    <t>Mængde
Stadie 7a - 2. hovedspor Høje Taastrup – Roskilde spærret</t>
  </si>
  <si>
    <t>Mængde
Stadie 8 – 3 + 4 hovedspor Htå – Ro Maskinelle arbejder på rammeaftale</t>
  </si>
  <si>
    <t>Mængde
Stadie 9 - 3. og 4. hovedspor Høje Taastrup – Roskilde spærret. Afsluttende manuelle arbejder</t>
  </si>
  <si>
    <t>Mængde i alt</t>
  </si>
  <si>
    <t>Enhedspris
DKK</t>
  </si>
  <si>
    <t>I alt
DKK</t>
  </si>
  <si>
    <t/>
  </si>
  <si>
    <t>3.1</t>
  </si>
  <si>
    <t>Bygherreleverancer</t>
  </si>
  <si>
    <t>3.3</t>
  </si>
  <si>
    <t>Sporkonstruktioner</t>
  </si>
  <si>
    <t>3.3.6</t>
  </si>
  <si>
    <t>Optagning og genindbygning af sporrammer</t>
  </si>
  <si>
    <t>M</t>
  </si>
  <si>
    <t>3.5</t>
  </si>
  <si>
    <t>Svejsearbejder</t>
  </si>
  <si>
    <t>3.5.3</t>
  </si>
  <si>
    <t>Spændingsudligning</t>
  </si>
  <si>
    <t>3.5.3.1</t>
  </si>
  <si>
    <t>Spor der kun er ballastrenset / justeret med sideflytning</t>
  </si>
  <si>
    <t>3.6</t>
  </si>
  <si>
    <t>Justeringsarbejder</t>
  </si>
  <si>
    <t>3.6.3</t>
  </si>
  <si>
    <t>Slutjustering spor</t>
  </si>
  <si>
    <t>3.6.5</t>
  </si>
  <si>
    <t>Justering af ikke ombygget spor</t>
  </si>
  <si>
    <t>3.6.6</t>
  </si>
  <si>
    <t>Justering af eksisterende sporskifter</t>
  </si>
  <si>
    <t>STK</t>
  </si>
  <si>
    <t>3.6.7</t>
  </si>
  <si>
    <t>kørsel med DSM (100.000 bruttoton)</t>
  </si>
  <si>
    <t>3.6.9</t>
  </si>
  <si>
    <t>Belastning af sporbærende broer (25.000 bruttoton)</t>
  </si>
  <si>
    <t>3.7</t>
  </si>
  <si>
    <t>Øvrige sporarbejder</t>
  </si>
  <si>
    <t>3.7.12</t>
  </si>
  <si>
    <t>Krabbemåling ved spor- og bro-arbejder</t>
  </si>
  <si>
    <t>Samlet tilbudssum ekskl. moms (i DKK)</t>
  </si>
  <si>
    <t>Overføres til "Hovedtilbudsliste"</t>
  </si>
  <si>
    <t>4.1</t>
  </si>
  <si>
    <t>Materialer</t>
  </si>
  <si>
    <t>4.1.1</t>
  </si>
  <si>
    <t>Levering af ballastskærver</t>
  </si>
  <si>
    <t>M3</t>
  </si>
  <si>
    <t>4.1.3</t>
  </si>
  <si>
    <t>Levering af SGII</t>
  </si>
  <si>
    <t>4.1.4</t>
  </si>
  <si>
    <t>Levering af veldrænende grus</t>
  </si>
  <si>
    <t>4.1.5</t>
  </si>
  <si>
    <t>Levering af BLII</t>
  </si>
  <si>
    <t>4.1.a</t>
  </si>
  <si>
    <t>Levering af filtermateriale</t>
  </si>
  <si>
    <t>4.5</t>
  </si>
  <si>
    <t>Råjordsarbejder</t>
  </si>
  <si>
    <t>4.6</t>
  </si>
  <si>
    <t>Øvrige jord- og ballastarbejder</t>
  </si>
  <si>
    <t>4.6.1</t>
  </si>
  <si>
    <t>Etablering af brokiler ved sporbærende broer</t>
  </si>
  <si>
    <t>4.6.3</t>
  </si>
  <si>
    <t>Ballastmåtter på sporbærende broer</t>
  </si>
  <si>
    <t>M2</t>
  </si>
  <si>
    <t>4.X</t>
  </si>
  <si>
    <t>Projektspecifikke arbejder ifm. Jord og ballast</t>
  </si>
  <si>
    <t>4.X.1</t>
  </si>
  <si>
    <t>Reprofilering af skærveballast efter etablering af drænrende mellem spor 2 og 3</t>
  </si>
  <si>
    <t>5.1</t>
  </si>
  <si>
    <t xml:space="preserve">Etablering af drænsystem </t>
  </si>
  <si>
    <t>5.1.1</t>
  </si>
  <si>
    <t>Etablering af fuldslidset dræn, dybde ≤ 1 m under råjordsplanum</t>
  </si>
  <si>
    <t>5.1.1.1</t>
  </si>
  <si>
    <t>Ø160 (Ø145) med filtergrus A, udgravning bredde 0,40 meter</t>
  </si>
  <si>
    <t>5.1.1.a</t>
  </si>
  <si>
    <t>Brokile dræn</t>
  </si>
  <si>
    <t>5.1.3</t>
  </si>
  <si>
    <t>Etablering af topslidset dræn, dybde ≤ 1 m under råjordsplanum</t>
  </si>
  <si>
    <t>5.1.3.1</t>
  </si>
  <si>
    <t>5.1.3.2</t>
  </si>
  <si>
    <t>Ø200 (Ø180) med filtergrus A, udgravning bredde 0,60 meter</t>
  </si>
  <si>
    <t>5.1.3.3</t>
  </si>
  <si>
    <t>Ø250 med filtergrus A, udgravning bredde 0,60 meter</t>
  </si>
  <si>
    <t>5.1.3.4</t>
  </si>
  <si>
    <t>Ø315 med filtergrus A, udgravning bredde 0,60 meter</t>
  </si>
  <si>
    <t>5.2</t>
  </si>
  <si>
    <t>Etablering af tætte ledninger og trykledning</t>
  </si>
  <si>
    <t>5.2.1</t>
  </si>
  <si>
    <t xml:space="preserve">Etablering af tætte ledninger, dybde ≤ 1 m under råjordsplanrum </t>
  </si>
  <si>
    <t>5.2.1.1</t>
  </si>
  <si>
    <t>Ø160 PP/PE</t>
  </si>
  <si>
    <t>5.2.1.2</t>
  </si>
  <si>
    <t>Ø200 PP/PE</t>
  </si>
  <si>
    <t>5.2.1.3</t>
  </si>
  <si>
    <t>Ø250 PP/PE</t>
  </si>
  <si>
    <t>5.2.1.4</t>
  </si>
  <si>
    <t>Ø315 PP/PE</t>
  </si>
  <si>
    <t>5.2.1.5</t>
  </si>
  <si>
    <t xml:space="preserve">Ø400 PP/PE     </t>
  </si>
  <si>
    <t>5.2.6</t>
  </si>
  <si>
    <t>Tillægspris ved ledningspassager ved køreledningsmaster, bardunpæle og andre objekter</t>
  </si>
  <si>
    <t>5.2.6.1</t>
  </si>
  <si>
    <t>Kørestrømsmast</t>
  </si>
  <si>
    <t>5.2.6.2</t>
  </si>
  <si>
    <t>Kørestrømsmast og bardunfundament</t>
  </si>
  <si>
    <t>5.3</t>
  </si>
  <si>
    <t>Etablering af gennemløbsbrønde</t>
  </si>
  <si>
    <t>5.3.1</t>
  </si>
  <si>
    <t xml:space="preserve">Etablering af gennemløbsbrønde dybde ≤ 1 m under råjordsplanum </t>
  </si>
  <si>
    <t>5.3.1.2</t>
  </si>
  <si>
    <t>Ø425 PP</t>
  </si>
  <si>
    <t>5.3.1.3</t>
  </si>
  <si>
    <t>Ø600 PP</t>
  </si>
  <si>
    <t>5.3.1.a</t>
  </si>
  <si>
    <t>Ø1000 Bt</t>
  </si>
  <si>
    <t>5.4</t>
  </si>
  <si>
    <t>Etablering af sandfangsbrønde</t>
  </si>
  <si>
    <t>5.4.1</t>
  </si>
  <si>
    <t>Etablering af sandfangsbrønde dybde ≤ 1 m under råjordsplanum</t>
  </si>
  <si>
    <t>5.4.1.3</t>
  </si>
  <si>
    <t>5.4.1.a</t>
  </si>
  <si>
    <t>Ø800 PP</t>
  </si>
  <si>
    <t>5.4.2</t>
  </si>
  <si>
    <t>Etablering af sandfangsbrønde 1 m &lt; dybde ≤ 2 m under råjordsplanum</t>
  </si>
  <si>
    <t>5.4.2.2</t>
  </si>
  <si>
    <t>5.4.2.a</t>
  </si>
  <si>
    <t>5.6</t>
  </si>
  <si>
    <t>Banegrøfter</t>
  </si>
  <si>
    <t>5.6.1</t>
  </si>
  <si>
    <t>Oprensning af banegrøfter</t>
  </si>
  <si>
    <t>5.6.2</t>
  </si>
  <si>
    <t xml:space="preserve">Etablering af fliseseng lille. </t>
  </si>
  <si>
    <t>5.6.3</t>
  </si>
  <si>
    <t>Etablering af fliseseng stor</t>
  </si>
  <si>
    <t>5.7</t>
  </si>
  <si>
    <t>Gravekasse</t>
  </si>
  <si>
    <t>5.7.a</t>
  </si>
  <si>
    <t>Gravekasse ift. eksisterende terræn</t>
  </si>
  <si>
    <t>5.7.b</t>
  </si>
  <si>
    <t>Gravekasse ift. eksisterende terræn d &lt; 2m</t>
  </si>
  <si>
    <t>5.8</t>
  </si>
  <si>
    <t>Øvrige afvandingsarbejder</t>
  </si>
  <si>
    <t>5.8.3</t>
  </si>
  <si>
    <t>Nedlægning af eksisterende ledninger og dræn ved betonfyldning</t>
  </si>
  <si>
    <t>5.8.6</t>
  </si>
  <si>
    <t>Tilslutning til eksisterende ledning</t>
  </si>
  <si>
    <t>5.8.6.1</t>
  </si>
  <si>
    <t>Tilslutning til eksisterende betonledning</t>
  </si>
  <si>
    <t>5.8.6.2</t>
  </si>
  <si>
    <t>Tilslutning til eksisterende plastledning</t>
  </si>
  <si>
    <t>5.8.a</t>
  </si>
  <si>
    <t>Registrering, indmåling og tv-inspektion (DANDAS)</t>
  </si>
  <si>
    <t>5.8.a.a</t>
  </si>
  <si>
    <t>Indmåling og registrering af ledning og ledningstracé</t>
  </si>
  <si>
    <t>5.8.a.b</t>
  </si>
  <si>
    <t>Indmåling og registrering af åbne grøfter, vandløb og bassiner</t>
  </si>
  <si>
    <t>5.8.a.c</t>
  </si>
  <si>
    <t>Brøndrapporter efter DTVK</t>
  </si>
  <si>
    <t>5.8.b</t>
  </si>
  <si>
    <t>TV-inspektion</t>
  </si>
  <si>
    <t>5.8.b.a</t>
  </si>
  <si>
    <t>TV-inspektion af nye ledninger</t>
  </si>
  <si>
    <t>5.X</t>
  </si>
  <si>
    <t>Projektspecifikke arbejder ifm. Afvanding</t>
  </si>
  <si>
    <t>5.X.1</t>
  </si>
  <si>
    <t>Tværgående ledning (21+002)</t>
  </si>
  <si>
    <t>SUM</t>
  </si>
  <si>
    <t>5.X.1.1</t>
  </si>
  <si>
    <t xml:space="preserve">Spuling og tømning af eksisterende ledninger </t>
  </si>
  <si>
    <t>5.X.1.2</t>
  </si>
  <si>
    <t>Opmåling af udløbskote</t>
  </si>
  <si>
    <t>5.X.1.3</t>
  </si>
  <si>
    <t>Forlængelse af ledning</t>
  </si>
  <si>
    <t>5.X.2</t>
  </si>
  <si>
    <t>Strømpeforing af stenkiste (22+303)</t>
  </si>
  <si>
    <t>5.X.3</t>
  </si>
  <si>
    <t>Tværgående ledning (23+464)</t>
  </si>
  <si>
    <t>5.X.3.1</t>
  </si>
  <si>
    <t>Rensning/Spuling samt TV-inspektion</t>
  </si>
  <si>
    <t>5.X.3.2</t>
  </si>
  <si>
    <t>Strømpeforing</t>
  </si>
  <si>
    <t>5.X.3.3</t>
  </si>
  <si>
    <t>5.X.4</t>
  </si>
  <si>
    <t>Tværgående ledning (23+654)</t>
  </si>
  <si>
    <t>5.X.4.1</t>
  </si>
  <si>
    <t>5.X.4.2</t>
  </si>
  <si>
    <t xml:space="preserve">Strømpeforing </t>
  </si>
  <si>
    <t>5.X.5</t>
  </si>
  <si>
    <t>Tværgående ledning (23+917)</t>
  </si>
  <si>
    <t>5.X.5.1</t>
  </si>
  <si>
    <t>5.X.5.2</t>
  </si>
  <si>
    <t>5.X.5.3</t>
  </si>
  <si>
    <t>5.X.6</t>
  </si>
  <si>
    <t>Tværgående ledning (25+373)</t>
  </si>
  <si>
    <t>5.X.6.1</t>
  </si>
  <si>
    <t>Rensning/Spuling</t>
  </si>
  <si>
    <t>5.X.6.2</t>
  </si>
  <si>
    <t>Udskiftning af ledningsstykke</t>
  </si>
  <si>
    <t>5.X.7</t>
  </si>
  <si>
    <t>Dræn ved Holbækmotorvejen</t>
  </si>
  <si>
    <t>5.X.7.1</t>
  </si>
  <si>
    <t>Sektionsvis udgravning</t>
  </si>
  <si>
    <t>5.X.8</t>
  </si>
  <si>
    <t>Tværgående ledning (28+318)</t>
  </si>
  <si>
    <t>5.X.8.1</t>
  </si>
  <si>
    <t>5.X.8.2</t>
  </si>
  <si>
    <t>5.X.9</t>
  </si>
  <si>
    <t>Oprensning og etablering af hegn ved stenkiste</t>
  </si>
  <si>
    <t>5.X.10</t>
  </si>
  <si>
    <t>Tillæg for røgkammermuld ved Solhøjvej, bro 15216</t>
  </si>
  <si>
    <t>5.X.11</t>
  </si>
  <si>
    <t>Afvandingsarbejder tæt på føringsveje</t>
  </si>
  <si>
    <t>6.2</t>
  </si>
  <si>
    <t>Kabelomlægning</t>
  </si>
  <si>
    <t>6.2.2</t>
  </si>
  <si>
    <t>Opgravning af eksisterende kabler på fri strækning</t>
  </si>
  <si>
    <t>6.2.4</t>
  </si>
  <si>
    <t>Optagning af eksisterende kabler i kabelrender</t>
  </si>
  <si>
    <t>6.2.4.1</t>
  </si>
  <si>
    <t>Kabelrende med 1-10 kabler</t>
  </si>
  <si>
    <t>6.2.6</t>
  </si>
  <si>
    <t>Nedgravning af eksisterende/nye kabler på fri strækning</t>
  </si>
  <si>
    <t>6.2.8</t>
  </si>
  <si>
    <t>Lægning af eksisterende/nye kabler i kabelrender</t>
  </si>
  <si>
    <t>6.2.8.1</t>
  </si>
  <si>
    <t>6.3</t>
  </si>
  <si>
    <t>Optagning af føringsveje</t>
  </si>
  <si>
    <t>6.3.1</t>
  </si>
  <si>
    <t>Optagning af kabelrender</t>
  </si>
  <si>
    <t>6.3.1.4</t>
  </si>
  <si>
    <t>Betonkabelrender til deponi</t>
  </si>
  <si>
    <t>6.4</t>
  </si>
  <si>
    <t>Etablering af føringsveje (kabelrender)</t>
  </si>
  <si>
    <t>6.4.1</t>
  </si>
  <si>
    <t>Levering af nye kabelrender</t>
  </si>
  <si>
    <t>6.4.1.6</t>
  </si>
  <si>
    <t>Plast 25-43 cm</t>
  </si>
  <si>
    <t>6.4.2</t>
  </si>
  <si>
    <t xml:space="preserve">Levering af monteringssystem for kabelrender </t>
  </si>
  <si>
    <t>6.4.3</t>
  </si>
  <si>
    <t>Etablering af kabelrender</t>
  </si>
  <si>
    <t>6.4.3.6</t>
  </si>
  <si>
    <t>6.8</t>
  </si>
  <si>
    <t>Øvrige arbejder i forbindelse med kabelomlægning og føringsveje</t>
  </si>
  <si>
    <t>6.8.1</t>
  </si>
  <si>
    <t>Etablering af klikrør om eksisterende kabler</t>
  </si>
  <si>
    <t>8.1</t>
  </si>
  <si>
    <t>Forberedende arbejder</t>
  </si>
  <si>
    <t>8.1.1</t>
  </si>
  <si>
    <t xml:space="preserve">Rydning af perronarealer </t>
  </si>
  <si>
    <t>8.1.3</t>
  </si>
  <si>
    <t>Optagning og genudlægning af eksisterende flisebelægning</t>
  </si>
  <si>
    <t>8.1.5</t>
  </si>
  <si>
    <t>Midlertidigt hegn på eksisterende perronner der ombygges</t>
  </si>
  <si>
    <t>8.1.a</t>
  </si>
  <si>
    <t>Prøvegravning</t>
  </si>
  <si>
    <t>8.2</t>
  </si>
  <si>
    <t>Tilpasning af perronforkanter</t>
  </si>
  <si>
    <t>8.2.2</t>
  </si>
  <si>
    <t>Opretning af perronforkanter</t>
  </si>
  <si>
    <t>8.X</t>
  </si>
  <si>
    <t>Projektspecifikke arbejder ifm. Perroner</t>
  </si>
  <si>
    <t>8.X.1</t>
  </si>
  <si>
    <t>Afstribningslinje</t>
  </si>
  <si>
    <t>8.X.2</t>
  </si>
  <si>
    <t>Fremstilling og levering af harlekinoverplader</t>
  </si>
  <si>
    <t>9.1</t>
  </si>
  <si>
    <t>Fundering</t>
  </si>
  <si>
    <t>9.1.1</t>
  </si>
  <si>
    <t>Afsætning af fundament</t>
  </si>
  <si>
    <t>9.1.2</t>
  </si>
  <si>
    <t xml:space="preserve">Prøvegravning kørestrømsfundament </t>
  </si>
  <si>
    <t>9.1.2.2</t>
  </si>
  <si>
    <t>Stampet pæl</t>
  </si>
  <si>
    <t>9.1.3</t>
  </si>
  <si>
    <t>Afhentning af pæle</t>
  </si>
  <si>
    <t>9.1.4</t>
  </si>
  <si>
    <t>Udlægning og fundering af pæl</t>
  </si>
  <si>
    <t>9.1.4.3</t>
  </si>
  <si>
    <t>EP-B1 5,5 - 6 m længde</t>
  </si>
  <si>
    <t>9.1.4.11</t>
  </si>
  <si>
    <t>EP-B14 5,5 - 6 m længde</t>
  </si>
  <si>
    <t>9.1.5</t>
  </si>
  <si>
    <t>Afstivning/aflastning af eksisterende mast iht. Gravetilladelse</t>
  </si>
  <si>
    <t>N/A</t>
  </si>
  <si>
    <t>9.1.5.1</t>
  </si>
  <si>
    <t>Før-/efter indmålinger af eksisterende mast</t>
  </si>
  <si>
    <t>9.1.5.2</t>
  </si>
  <si>
    <t>Midlertidig aflastning af køreledning - (metode 1)</t>
  </si>
  <si>
    <t>9.1.5.3</t>
  </si>
  <si>
    <t>Midlertidig afstivning med nødbardun på langs af sporet - (metode 2)</t>
  </si>
  <si>
    <t>9.1.5.4</t>
  </si>
  <si>
    <t>Midlertidig afstivning mod skinnen på tværs af sporet - (metode 3)</t>
  </si>
  <si>
    <t>9.1.6</t>
  </si>
  <si>
    <t>Indmåling af udført fundament</t>
  </si>
  <si>
    <t>9.2</t>
  </si>
  <si>
    <t>Stålkonstruktioner</t>
  </si>
  <si>
    <t>9.2.4</t>
  </si>
  <si>
    <t>Montage af mast</t>
  </si>
  <si>
    <t>9.2.5</t>
  </si>
  <si>
    <t>Montage af overligger eller bom</t>
  </si>
  <si>
    <t>9.2.a</t>
  </si>
  <si>
    <t>Levering af Ståldele til Rammer</t>
  </si>
  <si>
    <t>9.4</t>
  </si>
  <si>
    <t>Master og beslag på eksisterende konstruktioner</t>
  </si>
  <si>
    <t>9.4.1</t>
  </si>
  <si>
    <t>Levering og montage af beslag på bro</t>
  </si>
  <si>
    <t>9.5</t>
  </si>
  <si>
    <t>Ophæng</t>
  </si>
  <si>
    <t>9.5.1</t>
  </si>
  <si>
    <t>Levering og fremstilling af K-ophæng</t>
  </si>
  <si>
    <t>9.5.2</t>
  </si>
  <si>
    <t>Montage og indregulering af K-ophæng</t>
  </si>
  <si>
    <t>9.5.3</t>
  </si>
  <si>
    <t>Demontage og bortskaffelse af K-ophæng</t>
  </si>
  <si>
    <t>9.5.3.1</t>
  </si>
  <si>
    <t>K-ophæng</t>
  </si>
  <si>
    <t>9.5.4</t>
  </si>
  <si>
    <t>Justering og indregulering af K-ophæng</t>
  </si>
  <si>
    <t>9.6</t>
  </si>
  <si>
    <t>Ledningsadskillere</t>
  </si>
  <si>
    <t>9.6.1</t>
  </si>
  <si>
    <t>Indbygning af ikke bekørbar ledningsadskillelse</t>
  </si>
  <si>
    <t>9.6.5</t>
  </si>
  <si>
    <t>Udbygning og bortskaffelse af ledningsadskiller, alle typer</t>
  </si>
  <si>
    <t>9.8</t>
  </si>
  <si>
    <t>Retur- og forstærkningsledninger, samt negativ feeder</t>
  </si>
  <si>
    <t>9.8.1</t>
  </si>
  <si>
    <t>Overflytning af returleder, forstærkningsleder eller negativ feeder</t>
  </si>
  <si>
    <t>9.8.2</t>
  </si>
  <si>
    <t>Montage af returleder</t>
  </si>
  <si>
    <t>9.8.3</t>
  </si>
  <si>
    <t>Demontage og bortskaffelse af returleder/forstærkningsleder</t>
  </si>
  <si>
    <t>9.12</t>
  </si>
  <si>
    <t>Returstrøm</t>
  </si>
  <si>
    <t>9.12.1</t>
  </si>
  <si>
    <t>Kabelleverance Alu</t>
  </si>
  <si>
    <t>9.12.1.1</t>
  </si>
  <si>
    <t>1x70 mm2 (F)</t>
  </si>
  <si>
    <t>9.13</t>
  </si>
  <si>
    <t>Potentialudligning</t>
  </si>
  <si>
    <t>9.13.1</t>
  </si>
  <si>
    <t>9.13.1.2</t>
  </si>
  <si>
    <t>1x50 mm2 (F)</t>
  </si>
  <si>
    <t>9.13.3</t>
  </si>
  <si>
    <t>Udligningsstropper</t>
  </si>
  <si>
    <t>9.13.3.1</t>
  </si>
  <si>
    <t>Af- og genmontering</t>
  </si>
  <si>
    <t>9.13.5</t>
  </si>
  <si>
    <t>Udligningsleder</t>
  </si>
  <si>
    <t>9.13.5.3</t>
  </si>
  <si>
    <t>Bro, i trækrør inkl. kabeltrækrør på rørholdere</t>
  </si>
  <si>
    <t>9.14</t>
  </si>
  <si>
    <t>Spærringer og hegn</t>
  </si>
  <si>
    <t>9.14.1</t>
  </si>
  <si>
    <t>Nedtagning og bortskaffelse af eksisterende skærmtage</t>
  </si>
  <si>
    <t>9.14.1.a</t>
  </si>
  <si>
    <t>Nedtagning og bortskaffelse af gamle skærmtag</t>
  </si>
  <si>
    <t>9.14.2</t>
  </si>
  <si>
    <t>Levering og montage af nye skærmtage</t>
  </si>
  <si>
    <t>9.14.2.1</t>
  </si>
  <si>
    <t>Tegning CFRxxx</t>
  </si>
  <si>
    <t>9.14.3</t>
  </si>
  <si>
    <t>Levering og opsætning og nedtagning af midlertidig afskærmning</t>
  </si>
  <si>
    <t>9.14.3.a</t>
  </si>
  <si>
    <t>Midlertidig afskærmning på Fløng Stibro.</t>
  </si>
  <si>
    <t>9.17</t>
  </si>
  <si>
    <t>Kontrol og dokumentation</t>
  </si>
  <si>
    <t>9.17.1</t>
  </si>
  <si>
    <t>Overgang til daglig drift</t>
  </si>
  <si>
    <t>9.17.2</t>
  </si>
  <si>
    <t>Ibrugtagning af køreledningsanlæg</t>
  </si>
  <si>
    <t>9.17.3</t>
  </si>
  <si>
    <t>Kontrol ved slutjustering af spor</t>
  </si>
  <si>
    <t>10.1</t>
  </si>
  <si>
    <t>Kabeldåser og fordelingshuse</t>
  </si>
  <si>
    <t>10.1.1</t>
  </si>
  <si>
    <t>Demontage af kabeldåse</t>
  </si>
  <si>
    <t>10.1.2</t>
  </si>
  <si>
    <t>Montering af kabeldåse for sporisolation</t>
  </si>
  <si>
    <t>10.1.7</t>
  </si>
  <si>
    <t>Afprøvning af sporisolation</t>
  </si>
  <si>
    <t>10.4</t>
  </si>
  <si>
    <t>ATC/ATP</t>
  </si>
  <si>
    <t>10.4.1</t>
  </si>
  <si>
    <t>Demontering af ATC-balise</t>
  </si>
  <si>
    <t>10.4.2</t>
  </si>
  <si>
    <t>Montering af ATC-balise</t>
  </si>
  <si>
    <t>10.4.5</t>
  </si>
  <si>
    <t xml:space="preserve">Demontering af sideforlagt linjeleder </t>
  </si>
  <si>
    <t>10.4.6</t>
  </si>
  <si>
    <t xml:space="preserve">Montering af sideforlagt linjeleder </t>
  </si>
  <si>
    <t>10.4.7</t>
  </si>
  <si>
    <t>Afprøvning af ATC balise</t>
  </si>
  <si>
    <t>10.4.9</t>
  </si>
  <si>
    <t xml:space="preserve">Afprøvning af sideforlagt linjeleder </t>
  </si>
  <si>
    <t>10.8</t>
  </si>
  <si>
    <t>Kabler og ledninger</t>
  </si>
  <si>
    <t>10.8.7</t>
  </si>
  <si>
    <t>Demontering af tværforbinder</t>
  </si>
  <si>
    <t>10.8.8</t>
  </si>
  <si>
    <t>Montering af tværforbinder</t>
  </si>
  <si>
    <t>10.10</t>
  </si>
  <si>
    <t>Sikringsarbejder i forbindelse med slutjustering</t>
  </si>
  <si>
    <t>10.10.1</t>
  </si>
  <si>
    <t>De- og genmontering af skinnetilledninger fra kabeldåse</t>
  </si>
  <si>
    <t>10.10.2</t>
  </si>
  <si>
    <t>De- og genmontering af ATC/ATP baliser</t>
  </si>
  <si>
    <t>10.10.4</t>
  </si>
  <si>
    <t>De- og genmontering af tværforbinder</t>
  </si>
  <si>
    <t>10.X</t>
  </si>
  <si>
    <t>Projektspecifikke arbejder ifm. Sikring</t>
  </si>
  <si>
    <t>10.X.1</t>
  </si>
  <si>
    <t>Klipning og demontering af sideforlagt linjeleder</t>
  </si>
  <si>
    <t>10.X.2</t>
  </si>
  <si>
    <t>Splidsning og montering af sideforlagt linjeleder</t>
  </si>
  <si>
    <t>10.X.3</t>
  </si>
  <si>
    <t>Slutjustering</t>
  </si>
  <si>
    <t>10.X.3.1</t>
  </si>
  <si>
    <t>Slutjustering - Klipning af sideforlagt linjeleder</t>
  </si>
  <si>
    <t>10.X.3.2</t>
  </si>
  <si>
    <t>Slutjustering - Splidsning af sideforlagt linjeleder</t>
  </si>
  <si>
    <t>10.X.4</t>
  </si>
  <si>
    <t>Fejlretning efter ibrugtagning</t>
  </si>
  <si>
    <t>10.X.5</t>
  </si>
  <si>
    <t xml:space="preserve">Fejlretning under udførelse </t>
  </si>
  <si>
    <t>T</t>
  </si>
  <si>
    <t>10.X.5.1</t>
  </si>
  <si>
    <t>Rådighedsvagt</t>
  </si>
  <si>
    <t>10.X.5.2</t>
  </si>
  <si>
    <t>Fejlretning</t>
  </si>
  <si>
    <t>10.X.6</t>
  </si>
  <si>
    <t>12.1</t>
  </si>
  <si>
    <t>12.1.1</t>
  </si>
  <si>
    <t>Rydning</t>
  </si>
  <si>
    <t>12.2</t>
  </si>
  <si>
    <t>Betonelementer</t>
  </si>
  <si>
    <t>12.2.3</t>
  </si>
  <si>
    <t>Fremstilling, transport og montering af kantbjælkeelementer inklusiv sammenstøbning og fastgørelse</t>
  </si>
  <si>
    <t>12.10</t>
  </si>
  <si>
    <t xml:space="preserve">Autoværn og tilhørende udstyr </t>
  </si>
  <si>
    <t>12.10.1</t>
  </si>
  <si>
    <t>Nedtagning og bortskaffelse af rækværk</t>
  </si>
  <si>
    <t>12.10.1.1</t>
  </si>
  <si>
    <t xml:space="preserve">Nedtagning og bortskaffelse af eksisterende rækværk </t>
  </si>
  <si>
    <t>12.10.1.2</t>
  </si>
  <si>
    <t>Levering, montering og demontage af midlertidigt rækværk</t>
  </si>
  <si>
    <t>12.10.1.3</t>
  </si>
  <si>
    <t xml:space="preserve">Behugning og reparation af beton, inklusiv skæring og overfladebehandling af eksisterende rækværk. </t>
  </si>
  <si>
    <t>12.10.3</t>
  </si>
  <si>
    <t>Rækværk</t>
  </si>
  <si>
    <t>12.10.3.1</t>
  </si>
  <si>
    <t>Levering og montering af rækværk på overside konstruktion</t>
  </si>
  <si>
    <t>12.10.3.2</t>
  </si>
  <si>
    <t>Levering og montering af rækværk på yderside konstruktion</t>
  </si>
  <si>
    <t>12.10.3.3</t>
  </si>
  <si>
    <t xml:space="preserve">Levering og montering af gangbro med rækværk </t>
  </si>
  <si>
    <t>12.10.3.4</t>
  </si>
  <si>
    <t>Levering og montering af rørrækværk på skråninger, inklusiv fundamenter.</t>
  </si>
  <si>
    <t>12.10.3.5</t>
  </si>
  <si>
    <t>Levering og montering af ballastskærm på rækværk.</t>
  </si>
  <si>
    <t>12.10.a</t>
  </si>
  <si>
    <t>Kabelstiger</t>
  </si>
  <si>
    <t>12.10.b</t>
  </si>
  <si>
    <t>Ballastfang</t>
  </si>
  <si>
    <t>12.11</t>
  </si>
  <si>
    <t>12.11.1</t>
  </si>
  <si>
    <t>Anstilling for nedbringning af pæle</t>
  </si>
  <si>
    <t>12.X</t>
  </si>
  <si>
    <t>Projektspecifikke arbejder ifm. Broer og konstruktioner</t>
  </si>
  <si>
    <t>12.X.1</t>
  </si>
  <si>
    <t>Ballastplade</t>
  </si>
  <si>
    <t>12.X.2</t>
  </si>
  <si>
    <t>Skruefundamenter</t>
  </si>
  <si>
    <t>14.1</t>
  </si>
  <si>
    <t>Håndtering og bortskaffelse af Restprodukter</t>
  </si>
  <si>
    <t>14.1.1</t>
  </si>
  <si>
    <t>Bortskaffelse af Restprodukter omfattende skærver, bagharp, jord- og grusmaterialer  (Sjælland uden kartering på Banedanmarks udpegede arbejdspladser)</t>
  </si>
  <si>
    <t>14.1.1.1</t>
  </si>
  <si>
    <t>Skærver</t>
  </si>
  <si>
    <t>14.1.1.a</t>
  </si>
  <si>
    <t>Bagharp kl. 0/1</t>
  </si>
  <si>
    <t>14.1.1.b</t>
  </si>
  <si>
    <t>Bagharp kl. 2/3</t>
  </si>
  <si>
    <t>14.1.1.c</t>
  </si>
  <si>
    <t>Jord kl. 0/1</t>
  </si>
  <si>
    <t>14.1.1.d</t>
  </si>
  <si>
    <t>Jord kl. 2/3</t>
  </si>
  <si>
    <t>14.1.1.e</t>
  </si>
  <si>
    <t>Grusmaterialer (underballast) kl. 0/1</t>
  </si>
  <si>
    <t>14.1.1.f</t>
  </si>
  <si>
    <t>Grusmaterialer (underballast) kl. 2/3</t>
  </si>
  <si>
    <t>14.1.5</t>
  </si>
  <si>
    <t xml:space="preserve">Bortskaffelse af restprodukter omfattende betonaffald </t>
  </si>
  <si>
    <t>TON</t>
  </si>
  <si>
    <t>14.1.a</t>
  </si>
  <si>
    <t>Bortskaffelse af plastik</t>
  </si>
  <si>
    <t>14.1.b</t>
  </si>
  <si>
    <t>Bortskaffelse af røgkammermuld</t>
  </si>
  <si>
    <t>14.1.c</t>
  </si>
  <si>
    <t>Bortskaffelse af rækværk</t>
  </si>
  <si>
    <t>14.1.d</t>
  </si>
  <si>
    <t>Bortskaffelse af SF-sten</t>
  </si>
  <si>
    <t>14.1.e</t>
  </si>
  <si>
    <t>Bortskaffelse af skinnestolper</t>
  </si>
  <si>
    <t>15.1</t>
  </si>
  <si>
    <t>Mobiliseringsperioden</t>
  </si>
  <si>
    <t>15.1.1</t>
  </si>
  <si>
    <t>Administration i mobiliseringsperioden</t>
  </si>
  <si>
    <t>15.1.2</t>
  </si>
  <si>
    <t>Kontrol af fikspunkter</t>
  </si>
  <si>
    <t>15.2</t>
  </si>
  <si>
    <t>Arbejdsområder og arbejdspladser</t>
  </si>
  <si>
    <t>15.2.1</t>
  </si>
  <si>
    <t>Arbejdspladser og adgangsveje</t>
  </si>
  <si>
    <t>15.2.1.1</t>
  </si>
  <si>
    <t>Grus til sikring af kørefasthed</t>
  </si>
  <si>
    <t>15.2.1.2</t>
  </si>
  <si>
    <t>Jernplader til sikring af kørefasthed</t>
  </si>
  <si>
    <t>15.2.1.a</t>
  </si>
  <si>
    <t>Depot 1</t>
  </si>
  <si>
    <t>15.2.1.b</t>
  </si>
  <si>
    <t>Depot 2</t>
  </si>
  <si>
    <t>15.2.1.c</t>
  </si>
  <si>
    <t>Depot 3</t>
  </si>
  <si>
    <t>15.2.1.d</t>
  </si>
  <si>
    <t>Depot 4</t>
  </si>
  <si>
    <t>15.2.1.e</t>
  </si>
  <si>
    <t>Arbejdsareal 4a</t>
  </si>
  <si>
    <t>15.2.1.f</t>
  </si>
  <si>
    <t>Arbejdsareal 4b</t>
  </si>
  <si>
    <t>15.2.1.g</t>
  </si>
  <si>
    <t>Depot 5</t>
  </si>
  <si>
    <t>15.2.1.h</t>
  </si>
  <si>
    <t>Arbejdsareal 5a</t>
  </si>
  <si>
    <t>15.2.1.i</t>
  </si>
  <si>
    <t>Arbejdsareal 5b</t>
  </si>
  <si>
    <t>15.2.1.j</t>
  </si>
  <si>
    <t>Depot 6</t>
  </si>
  <si>
    <t>15.2.1.k</t>
  </si>
  <si>
    <t>Arbejdsareal 6a</t>
  </si>
  <si>
    <t>15.2.1.l</t>
  </si>
  <si>
    <t>Arbejdsareal 6b</t>
  </si>
  <si>
    <t>15.2.1.m</t>
  </si>
  <si>
    <t>Arbejdsareal 6c</t>
  </si>
  <si>
    <t>15.2.1.n</t>
  </si>
  <si>
    <t>Arbejdsareal 6d</t>
  </si>
  <si>
    <t>15.2.1.o</t>
  </si>
  <si>
    <t>Depot 7</t>
  </si>
  <si>
    <t>15.2.1.p</t>
  </si>
  <si>
    <t>Depot 8</t>
  </si>
  <si>
    <t>15.2.1.q</t>
  </si>
  <si>
    <t>Arbejdsareal 8a</t>
  </si>
  <si>
    <t>15.2.1.r</t>
  </si>
  <si>
    <t>Depot 9</t>
  </si>
  <si>
    <t>15.2.1.s</t>
  </si>
  <si>
    <t>Arbejdsareal 9a</t>
  </si>
  <si>
    <t>15.2.1.t</t>
  </si>
  <si>
    <t>Arbejdsareal 9b</t>
  </si>
  <si>
    <t>15.2.1.u</t>
  </si>
  <si>
    <t>Arbejdsareal 9c</t>
  </si>
  <si>
    <t>15.2.1.v</t>
  </si>
  <si>
    <t>Arbejdsareal 9d</t>
  </si>
  <si>
    <t>15.2.1.w</t>
  </si>
  <si>
    <t>Depot 10</t>
  </si>
  <si>
    <t>15.2.1.x</t>
  </si>
  <si>
    <t>Depot 11</t>
  </si>
  <si>
    <t>15.2.2</t>
  </si>
  <si>
    <t>Byggepladsfaciliteter</t>
  </si>
  <si>
    <t>15.2.3</t>
  </si>
  <si>
    <t>Byggeledelsesfaciliteter</t>
  </si>
  <si>
    <t>15.2.4</t>
  </si>
  <si>
    <t>Vinterforanstaltning</t>
  </si>
  <si>
    <t>15.3</t>
  </si>
  <si>
    <t>Administration</t>
  </si>
  <si>
    <t>15.3.1</t>
  </si>
  <si>
    <t>15.4</t>
  </si>
  <si>
    <t>Jernbanesikkerhed</t>
  </si>
  <si>
    <t>15.4.1</t>
  </si>
  <si>
    <t>15.5</t>
  </si>
  <si>
    <t>Arbejdsmiljøkoordinering</t>
  </si>
  <si>
    <t>16.1</t>
  </si>
  <si>
    <t>Timesatser for mandtimer</t>
  </si>
  <si>
    <t>16.1.1</t>
  </si>
  <si>
    <t>Mandtimer</t>
  </si>
  <si>
    <t>16.1.1.1</t>
  </si>
  <si>
    <t>Entrepriseleder / projektleder / ingeniør</t>
  </si>
  <si>
    <t>EAT</t>
  </si>
  <si>
    <t>16.1.1.2</t>
  </si>
  <si>
    <t>Formand /Sjakbajs</t>
  </si>
  <si>
    <t>16.1.1.3</t>
  </si>
  <si>
    <t>SR1 arbejdsleder</t>
  </si>
  <si>
    <t>16.1.1.4</t>
  </si>
  <si>
    <t>SR2 Arbejdsleder</t>
  </si>
  <si>
    <t>16.1.1.8</t>
  </si>
  <si>
    <t>Sporsvejser</t>
  </si>
  <si>
    <t>16.1.1.9</t>
  </si>
  <si>
    <t>Sportekniker/sporarbejder</t>
  </si>
  <si>
    <t>16.1.1.10</t>
  </si>
  <si>
    <t>Kørestrømsmontør</t>
  </si>
  <si>
    <t>16.1.1.11</t>
  </si>
  <si>
    <t>Sikringsmontør SR 2 Sikring</t>
  </si>
  <si>
    <t>16.1.1.15</t>
  </si>
  <si>
    <t>PPPB Maskinfører SR</t>
  </si>
  <si>
    <t>16.1.1.17</t>
  </si>
  <si>
    <t>Elektriker</t>
  </si>
  <si>
    <t>16.1.1.18</t>
  </si>
  <si>
    <t>Landmåler</t>
  </si>
  <si>
    <t>16.1.1.19</t>
  </si>
  <si>
    <t>Kabelvagt</t>
  </si>
  <si>
    <t>16.1.1.20</t>
  </si>
  <si>
    <t>Specialarbejder/håndmand</t>
  </si>
  <si>
    <t>16.1.1.21</t>
  </si>
  <si>
    <t>Klargøring før rangering SR</t>
  </si>
  <si>
    <t>16.1.1.26</t>
  </si>
  <si>
    <t>Kloakmester</t>
  </si>
  <si>
    <t>16.2</t>
  </si>
  <si>
    <t>Materiel inklusiv fører</t>
  </si>
  <si>
    <t>16.2.1</t>
  </si>
  <si>
    <t>Særligt spormateriel</t>
  </si>
  <si>
    <t>16.2.1.1</t>
  </si>
  <si>
    <t>Strækningsstoppemaskine, fuldt bemandet (af-regnes pr km justeret spor)</t>
  </si>
  <si>
    <t>KM</t>
  </si>
  <si>
    <t>16.2.1.3</t>
  </si>
  <si>
    <t>Dynamisk sporstabiliseringsmaskine (DSM), fuldt bemandet  (af-regnes pr km udført spor)</t>
  </si>
  <si>
    <t>16.2.1.4</t>
  </si>
  <si>
    <t>Ballastfordeler, fuldt bemandet  (afregnes pr km udført spor)</t>
  </si>
  <si>
    <t>16.2.2</t>
  </si>
  <si>
    <t xml:space="preserve">Materiel </t>
  </si>
  <si>
    <t>16.2.2.5</t>
  </si>
  <si>
    <t>Skinnekørende dumper over 3,5 tons</t>
  </si>
  <si>
    <t>16.2.2.15</t>
  </si>
  <si>
    <t>Lastbil med kran (alle typer)</t>
  </si>
  <si>
    <t>16.2.2.18</t>
  </si>
  <si>
    <t>MFS-vogn</t>
  </si>
  <si>
    <t>16.2.2.20</t>
  </si>
  <si>
    <t>Banevogn (alle typer som der ikke er en særskilt post på)</t>
  </si>
  <si>
    <t>16.2.2.28</t>
  </si>
  <si>
    <t xml:space="preserve">Lokomotiv med ERTMS </t>
  </si>
  <si>
    <t>16.2.2.29</t>
  </si>
  <si>
    <t xml:space="preserve">Lokomotiv med ATC </t>
  </si>
  <si>
    <t>16.2.2.30</t>
  </si>
  <si>
    <t>Lokomotiv (alle typer)</t>
  </si>
  <si>
    <t>16.4</t>
  </si>
  <si>
    <t xml:space="preserve">Diverse arbejder </t>
  </si>
  <si>
    <t>16.4.1</t>
  </si>
  <si>
    <t>Flytning af fikspunkt</t>
  </si>
  <si>
    <t>16.4.2</t>
  </si>
  <si>
    <t>Krabbemåling</t>
  </si>
  <si>
    <t>16.4.6</t>
  </si>
  <si>
    <t>16.4.6.1</t>
  </si>
  <si>
    <t>Tv-inspektion med skubbekamera</t>
  </si>
  <si>
    <t>16.4.6.2</t>
  </si>
  <si>
    <t xml:space="preserve">Tv-inspektion uden skubbekamera </t>
  </si>
  <si>
    <t>16.4.7</t>
  </si>
  <si>
    <t>Anstilling og afrigning af lænsepumpe</t>
  </si>
  <si>
    <t>16.4.8</t>
  </si>
  <si>
    <t>Drift af lænsepumpe</t>
  </si>
  <si>
    <t>DDG</t>
  </si>
  <si>
    <t>16.4.11</t>
  </si>
  <si>
    <t>Flytning af kabelrende og sidetrækning af kabler ifm. Fundering</t>
  </si>
  <si>
    <t>16.4.15</t>
  </si>
  <si>
    <t>Varetagelse af elansvar for naboentreprenør</t>
  </si>
  <si>
    <t>16.4.15.1</t>
  </si>
  <si>
    <t>Eldriftleder</t>
  </si>
  <si>
    <t>16.4.15.2</t>
  </si>
  <si>
    <t>Holdleder</t>
  </si>
  <si>
    <t>16.4.16</t>
  </si>
  <si>
    <t>Etablering af KA for naboentreprenør</t>
  </si>
  <si>
    <t>16.4.17</t>
  </si>
  <si>
    <t>Udbedring af dræn ved fundament</t>
  </si>
  <si>
    <t>16.4.18</t>
  </si>
  <si>
    <t>Reparation af betonskade på pæl</t>
  </si>
  <si>
    <t>16.4.a</t>
  </si>
  <si>
    <t>Udskiftning af evt. K0-jord</t>
  </si>
  <si>
    <t>HP</t>
  </si>
  <si>
    <t>PO</t>
  </si>
  <si>
    <t>UP</t>
  </si>
  <si>
    <t>UP2</t>
  </si>
  <si>
    <t>Betegnelse</t>
  </si>
  <si>
    <t>Mængde</t>
  </si>
  <si>
    <t>03</t>
  </si>
  <si>
    <t>06</t>
  </si>
  <si>
    <t>00</t>
  </si>
  <si>
    <t>05</t>
  </si>
  <si>
    <t>01</t>
  </si>
  <si>
    <t>07</t>
  </si>
  <si>
    <t>09</t>
  </si>
  <si>
    <t>04</t>
  </si>
  <si>
    <t>0a</t>
  </si>
  <si>
    <t>99</t>
  </si>
  <si>
    <t>02</t>
  </si>
  <si>
    <t>0b</t>
  </si>
  <si>
    <t>08</t>
  </si>
  <si>
    <t>0c</t>
  </si>
  <si>
    <t>11</t>
  </si>
  <si>
    <t>13</t>
  </si>
  <si>
    <t>17</t>
  </si>
  <si>
    <t>Jord</t>
  </si>
  <si>
    <t>0d</t>
  </si>
  <si>
    <t>0e</t>
  </si>
  <si>
    <t>0f</t>
  </si>
  <si>
    <t>0g</t>
  </si>
  <si>
    <t>0h</t>
  </si>
  <si>
    <t>0i</t>
  </si>
  <si>
    <t>0j</t>
  </si>
  <si>
    <t>0k</t>
  </si>
  <si>
    <t>0l</t>
  </si>
  <si>
    <t>0m</t>
  </si>
  <si>
    <t>0n</t>
  </si>
  <si>
    <t>0o</t>
  </si>
  <si>
    <t>0p</t>
  </si>
  <si>
    <t>0q</t>
  </si>
  <si>
    <t>0r</t>
  </si>
  <si>
    <t>0s</t>
  </si>
  <si>
    <t>0t</t>
  </si>
  <si>
    <t>0u</t>
  </si>
  <si>
    <t>0v</t>
  </si>
  <si>
    <t>0w</t>
  </si>
  <si>
    <t>0x</t>
  </si>
  <si>
    <t>18</t>
  </si>
  <si>
    <t>19</t>
  </si>
  <si>
    <t>20</t>
  </si>
  <si>
    <t>21</t>
  </si>
  <si>
    <t>26</t>
  </si>
  <si>
    <t>28</t>
  </si>
  <si>
    <t>29</t>
  </si>
  <si>
    <t>30</t>
  </si>
  <si>
    <t>SAP</t>
  </si>
  <si>
    <t>Poster</t>
  </si>
  <si>
    <t>NAB</t>
  </si>
  <si>
    <t>NAB mængde-
akkummulerende</t>
  </si>
  <si>
    <t>Service nr.</t>
  </si>
  <si>
    <t>Ja</t>
  </si>
  <si>
    <t>1.1.6</t>
  </si>
  <si>
    <t>2.1.2</t>
  </si>
  <si>
    <t>2.3.4</t>
  </si>
  <si>
    <t>4.10.2</t>
  </si>
  <si>
    <t>14.1.1.3</t>
  </si>
  <si>
    <t>2.4.6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</si>
</sst>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kr.&quot;;[Red]\-#,##0.00\ &quot;kr.&quot;"/>
    <numFmt numFmtId="164" formatCode="dd\.mm\.yyyy"/>
    <numFmt numFmtId="165" formatCode="#.0"/>
  </numFmts>
  <fonts count="19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26"/>
      <name val="Calibri"/>
      <family val="2"/>
      <scheme val="minor"/>
    </font>
    <font>
      <sz val="18"/>
      <name val="Calibri"/>
      <family val="2"/>
      <scheme val="minor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0C0C0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indexed="64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vertical="center"/>
    </xf>
    <xf numFmtId="165" fontId="7" fillId="0" borderId="5" xfId="0" applyNumberFormat="1" applyFont="1" applyBorder="1" applyAlignment="1">
      <alignment horizontal="left"/>
    </xf>
    <xf numFmtId="0" fontId="7" fillId="0" borderId="5" xfId="0" applyFont="1" applyBorder="1" applyAlignment="1">
      <alignment horizontal="left" vertical="center"/>
    </xf>
    <xf numFmtId="164" fontId="7" fillId="0" borderId="5" xfId="0" applyNumberFormat="1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2" fillId="3" borderId="9" xfId="0" applyFont="1" applyFill="1" applyBorder="1" applyAlignment="1">
      <alignment horizontal="center"/>
    </xf>
    <xf numFmtId="0" fontId="13" fillId="0" borderId="0" xfId="0" applyFont="1"/>
    <xf numFmtId="0" fontId="7" fillId="0" borderId="10" xfId="0" applyFont="1" applyBorder="1" applyAlignment="1">
      <alignment horizontal="center"/>
    </xf>
    <xf numFmtId="0" fontId="13" fillId="0" borderId="0" xfId="0" applyFont="1" applyAlignment="1">
      <alignment vertical="top"/>
    </xf>
    <xf numFmtId="0" fontId="7" fillId="0" borderId="10" xfId="0" applyFont="1" applyBorder="1" applyAlignment="1">
      <alignment horizontal="center" vertical="top"/>
    </xf>
    <xf numFmtId="0" fontId="7" fillId="0" borderId="17" xfId="0" applyFont="1" applyBorder="1"/>
    <xf numFmtId="0" fontId="10" fillId="0" borderId="20" xfId="0" applyFont="1" applyBorder="1"/>
    <xf numFmtId="0" fontId="14" fillId="0" borderId="7" xfId="0" applyFont="1" applyBorder="1"/>
    <xf numFmtId="4" fontId="10" fillId="0" borderId="7" xfId="0" applyNumberFormat="1" applyFont="1" applyBorder="1"/>
    <xf numFmtId="0" fontId="10" fillId="0" borderId="21" xfId="0" applyFont="1" applyBorder="1"/>
    <xf numFmtId="0" fontId="10" fillId="0" borderId="26" xfId="0" applyFont="1" applyBorder="1" applyAlignment="1">
      <alignment horizontal="left"/>
    </xf>
    <xf numFmtId="0" fontId="10" fillId="0" borderId="26" xfId="0" applyFont="1" applyBorder="1"/>
    <xf numFmtId="0" fontId="10" fillId="0" borderId="4" xfId="0" applyFont="1" applyBorder="1"/>
    <xf numFmtId="0" fontId="16" fillId="0" borderId="5" xfId="0" applyFont="1" applyBorder="1"/>
    <xf numFmtId="0" fontId="0" fillId="0" borderId="5" xfId="0" applyBorder="1" applyAlignment="1">
      <alignment textRotation="90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 applyProtection="1">
      <alignment horizontal="center" vertical="center" wrapText="1"/>
      <protection locked="0"/>
    </xf>
    <xf numFmtId="0" fontId="17" fillId="0" borderId="5" xfId="0" applyFont="1" applyBorder="1"/>
    <xf numFmtId="0" fontId="17" fillId="0" borderId="5" xfId="0" applyFont="1" applyBorder="1" applyAlignment="1">
      <alignment horizontal="center"/>
    </xf>
    <xf numFmtId="8" fontId="17" fillId="0" borderId="5" xfId="0" applyNumberFormat="1" applyFont="1" applyBorder="1" applyProtection="1">
      <protection locked="0"/>
    </xf>
    <xf numFmtId="8" fontId="17" fillId="0" borderId="5" xfId="0" applyNumberFormat="1" applyFont="1" applyBorder="1"/>
    <xf numFmtId="0" fontId="18" fillId="0" borderId="5" xfId="0" applyFont="1" applyBorder="1"/>
    <xf numFmtId="0" fontId="0" fillId="0" borderId="5" xfId="0" applyBorder="1"/>
    <xf numFmtId="0" fontId="0" fillId="0" borderId="5" xfId="0" applyBorder="1" applyAlignment="1">
      <alignment horizontal="center"/>
    </xf>
    <xf numFmtId="8" fontId="0" fillId="0" borderId="5" xfId="0" applyNumberFormat="1" applyBorder="1" applyProtection="1">
      <protection locked="0"/>
    </xf>
    <xf numFmtId="8" fontId="0" fillId="0" borderId="5" xfId="0" applyNumberFormat="1" applyBorder="1"/>
    <xf numFmtId="0" fontId="16" fillId="0" borderId="29" xfId="0" applyFont="1" applyBorder="1"/>
    <xf numFmtId="0" fontId="16" fillId="0" borderId="29" xfId="0" applyFont="1" applyBorder="1" applyProtection="1">
      <protection locked="0"/>
    </xf>
    <xf numFmtId="8" fontId="16" fillId="0" borderId="29" xfId="0" applyNumberFormat="1" applyFont="1" applyBorder="1"/>
    <xf numFmtId="0" fontId="0" fillId="0" borderId="0" xfId="0" applyProtection="1">
      <protection locked="0"/>
    </xf>
    <xf numFmtId="0" fontId="0" fillId="4" borderId="5" xfId="0" applyFill="1" applyBorder="1"/>
    <xf numFmtId="0" fontId="16" fillId="0" borderId="5" xfId="0" applyFont="1" applyBorder="1" applyAlignment="1">
      <alignment textRotation="90" wrapText="1"/>
    </xf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0" fillId="5" borderId="5" xfId="0" applyFill="1" applyBorder="1"/>
    <xf numFmtId="0" fontId="16" fillId="0" borderId="5" xfId="0" applyFont="1" applyBorder="1" applyAlignment="1">
      <alignment horizontal="center"/>
    </xf>
    <xf numFmtId="8" fontId="16" fillId="0" borderId="5" xfId="0" applyNumberFormat="1" applyFont="1" applyBorder="1" applyProtection="1">
      <protection locked="0"/>
    </xf>
    <xf numFmtId="8" fontId="16" fillId="0" borderId="5" xfId="0" applyNumberFormat="1" applyFont="1" applyBorder="1"/>
    <xf numFmtId="0" fontId="1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10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top" wrapText="1"/>
    </xf>
    <xf numFmtId="0" fontId="10" fillId="0" borderId="28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0" fillId="0" borderId="29" xfId="0" applyFont="1" applyBorder="1" applyAlignment="1" applyProtection="1">
      <alignment horizontal="center" vertical="center"/>
      <protection locked="0"/>
    </xf>
    <xf numFmtId="0" fontId="10" fillId="0" borderId="30" xfId="0" applyFont="1" applyBorder="1" applyAlignment="1">
      <alignment horizontal="center" vertical="center"/>
    </xf>
    <xf numFmtId="0" fontId="10" fillId="0" borderId="0" xfId="0" applyFont="1" applyAlignment="1" applyProtection="1">
      <alignment horizontal="center" vertical="center"/>
      <protection locked="0"/>
    </xf>
    <xf numFmtId="0" fontId="15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11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10" fillId="0" borderId="27" xfId="0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>
      <alignment horizontal="center" vertical="center"/>
    </xf>
    <xf numFmtId="0" fontId="7" fillId="0" borderId="15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4" fontId="7" fillId="0" borderId="15" xfId="0" applyNumberFormat="1" applyFont="1" applyBorder="1" applyAlignment="1">
      <alignment horizontal="center"/>
    </xf>
    <xf numFmtId="4" fontId="7" fillId="0" borderId="16" xfId="0" applyNumberFormat="1" applyFont="1" applyBorder="1" applyAlignment="1">
      <alignment horizontal="center"/>
    </xf>
    <xf numFmtId="0" fontId="6" fillId="0" borderId="18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4" fontId="7" fillId="0" borderId="18" xfId="0" applyNumberFormat="1" applyFont="1" applyBorder="1" applyAlignment="1">
      <alignment horizontal="center"/>
    </xf>
    <xf numFmtId="4" fontId="7" fillId="0" borderId="19" xfId="0" applyNumberFormat="1" applyFont="1" applyBorder="1" applyAlignment="1">
      <alignment horizontal="center"/>
    </xf>
    <xf numFmtId="0" fontId="10" fillId="0" borderId="22" xfId="0" applyFont="1" applyBorder="1" applyAlignment="1">
      <alignment wrapText="1"/>
    </xf>
    <xf numFmtId="0" fontId="10" fillId="0" borderId="23" xfId="0" applyFont="1" applyBorder="1"/>
    <xf numFmtId="0" fontId="10" fillId="0" borderId="23" xfId="0" applyFont="1" applyBorder="1" applyAlignment="1" applyProtection="1">
      <alignment horizontal="center"/>
      <protection locked="0"/>
    </xf>
    <xf numFmtId="0" fontId="10" fillId="0" borderId="24" xfId="0" applyFont="1" applyBorder="1" applyAlignment="1">
      <alignment horizontal="center"/>
    </xf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4" fontId="7" fillId="0" borderId="13" xfId="0" applyNumberFormat="1" applyFont="1" applyBorder="1" applyAlignment="1">
      <alignment horizontal="center"/>
    </xf>
    <xf numFmtId="4" fontId="7" fillId="0" borderId="14" xfId="0" applyNumberFormat="1" applyFont="1" applyBorder="1" applyAlignment="1">
      <alignment horizontal="center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4" fontId="7" fillId="0" borderId="13" xfId="0" applyNumberFormat="1" applyFont="1" applyBorder="1" applyAlignment="1">
      <alignment horizontal="center" vertical="top"/>
    </xf>
    <xf numFmtId="4" fontId="7" fillId="0" borderId="14" xfId="0" applyNumberFormat="1" applyFont="1" applyBorder="1" applyAlignment="1">
      <alignment horizontal="center" vertical="top"/>
    </xf>
    <xf numFmtId="0" fontId="12" fillId="3" borderId="2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 wrapText="1"/>
    </xf>
    <xf numFmtId="0" fontId="12" fillId="3" borderId="4" xfId="0" applyFont="1" applyFill="1" applyBorder="1" applyAlignment="1">
      <alignment horizontal="center" wrapText="1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4" fontId="7" fillId="0" borderId="11" xfId="0" applyNumberFormat="1" applyFont="1" applyBorder="1" applyAlignment="1">
      <alignment horizontal="center"/>
    </xf>
    <xf numFmtId="4" fontId="7" fillId="0" borderId="12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1</xdr:row>
      <xdr:rowOff>70366</xdr:rowOff>
    </xdr:from>
    <xdr:to>
      <xdr:col>5</xdr:col>
      <xdr:colOff>274148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opLeftCell="A14" zoomScaleNormal="100" workbookViewId="0">
      <selection activeCell="K32" sqref="K32"/>
    </sheetView>
  </sheetViews>
  <sheetFormatPr defaultColWidth="8.7109375" defaultRowHeight="12.75" customHeight="1" x14ac:dyDescent="0.2"/>
  <cols>
    <col min="1" max="1" width="13" style="1" customWidth="1"/>
    <col min="2" max="2" width="9.42578125" style="1" customWidth="1"/>
    <col min="3" max="3" width="8.7109375" style="1" customWidth="1"/>
    <col min="4" max="16384" width="8.7109375" style="1"/>
  </cols>
  <sheetData>
    <row r="1" spans="1:9" ht="12.75" customHeight="1" x14ac:dyDescent="0.2">
      <c r="D1" s="2"/>
      <c r="E1" s="2"/>
      <c r="F1" s="2"/>
    </row>
    <row r="2" spans="1:9" ht="26.25" customHeight="1" x14ac:dyDescent="0.2">
      <c r="D2" s="54"/>
      <c r="E2" s="58"/>
      <c r="F2" s="54"/>
    </row>
    <row r="3" spans="1:9" ht="12.75" customHeight="1" x14ac:dyDescent="0.2">
      <c r="D3" s="2"/>
      <c r="E3" s="2"/>
      <c r="F3" s="2"/>
    </row>
    <row r="4" spans="1:9" ht="12.75" customHeight="1" x14ac:dyDescent="0.2">
      <c r="D4" s="2"/>
      <c r="E4" s="2"/>
      <c r="F4" s="2"/>
    </row>
    <row r="5" spans="1:9" ht="12.75" customHeight="1" x14ac:dyDescent="0.2">
      <c r="D5" s="2"/>
      <c r="E5" s="2"/>
      <c r="F5" s="2"/>
    </row>
    <row r="6" spans="1:9" ht="12.75" customHeight="1" x14ac:dyDescent="0.2">
      <c r="D6" s="2"/>
      <c r="E6" s="2"/>
      <c r="F6" s="2"/>
    </row>
    <row r="7" spans="1:9" ht="12.75" customHeight="1" x14ac:dyDescent="0.2">
      <c r="D7" s="2"/>
      <c r="E7" s="2"/>
      <c r="F7" s="2"/>
    </row>
    <row r="8" spans="1:9" ht="12.75" customHeight="1" x14ac:dyDescent="0.2">
      <c r="D8" s="2"/>
      <c r="E8" s="2"/>
      <c r="F8" s="2"/>
    </row>
    <row r="9" spans="1:9" ht="28.5" customHeight="1" x14ac:dyDescent="0.2">
      <c r="A9" s="59" t="s">
        <v>0</v>
      </c>
      <c r="B9" s="59"/>
      <c r="C9" s="59"/>
      <c r="D9" s="59"/>
      <c r="E9" s="59"/>
      <c r="F9" s="59"/>
      <c r="G9" s="59"/>
      <c r="H9" s="59"/>
      <c r="I9" s="59"/>
    </row>
    <row r="10" spans="1:9" ht="24.75" customHeight="1" x14ac:dyDescent="0.2">
      <c r="A10" s="59" t="s">
        <v>1</v>
      </c>
      <c r="B10" s="59"/>
      <c r="C10" s="59"/>
      <c r="D10" s="59"/>
      <c r="E10" s="59"/>
      <c r="F10" s="59"/>
      <c r="G10" s="59"/>
      <c r="H10" s="59"/>
      <c r="I10" s="59"/>
    </row>
    <row r="12" spans="1:9" ht="26.25" customHeight="1" x14ac:dyDescent="0.35">
      <c r="A12" s="60"/>
      <c r="B12" s="60"/>
      <c r="C12" s="60"/>
      <c r="D12" s="60"/>
      <c r="E12" s="60"/>
      <c r="F12" s="60"/>
      <c r="G12" s="60"/>
      <c r="H12" s="60"/>
      <c r="I12" s="60"/>
    </row>
    <row r="13" spans="1:9" ht="23.25" customHeight="1" x14ac:dyDescent="0.35">
      <c r="A13" s="60"/>
      <c r="B13" s="60"/>
      <c r="C13" s="60"/>
      <c r="D13" s="60"/>
      <c r="E13" s="60"/>
      <c r="F13" s="60"/>
      <c r="G13" s="60"/>
      <c r="H13" s="60"/>
      <c r="I13" s="60"/>
    </row>
    <row r="14" spans="1:9" ht="26.25" customHeight="1" x14ac:dyDescent="0.2"/>
    <row r="15" spans="1:9" ht="26.25" customHeight="1" x14ac:dyDescent="0.2"/>
    <row r="18" spans="1:9" ht="18.75" customHeight="1" x14ac:dyDescent="0.2"/>
    <row r="19" spans="1:9" ht="18.75" customHeight="1" x14ac:dyDescent="0.2"/>
    <row r="24" spans="1:9" ht="30.75" customHeight="1" x14ac:dyDescent="0.2">
      <c r="A24" s="54" t="s">
        <v>2</v>
      </c>
      <c r="B24" s="54"/>
      <c r="C24" s="54"/>
      <c r="D24" s="54"/>
      <c r="E24" s="54"/>
      <c r="F24" s="54"/>
      <c r="G24" s="54"/>
      <c r="H24" s="54"/>
      <c r="I24" s="54"/>
    </row>
    <row r="28" spans="1:9" ht="26.25" customHeight="1" x14ac:dyDescent="0.2">
      <c r="A28" s="55"/>
      <c r="B28" s="55"/>
      <c r="C28" s="55"/>
      <c r="D28" s="55"/>
      <c r="E28" s="55"/>
      <c r="F28" s="55"/>
      <c r="G28" s="55"/>
      <c r="H28" s="55"/>
      <c r="I28" s="55"/>
    </row>
    <row r="43" spans="1:8" ht="15" x14ac:dyDescent="0.25">
      <c r="A43" s="1" t="s">
        <v>3</v>
      </c>
      <c r="B43" s="56">
        <v>45980.574988425928</v>
      </c>
      <c r="C43" s="53"/>
      <c r="D43" s="53"/>
      <c r="E43" s="53"/>
      <c r="F43" s="53"/>
      <c r="G43" s="53"/>
      <c r="H43" s="53"/>
    </row>
    <row r="44" spans="1:8" ht="15" x14ac:dyDescent="0.25">
      <c r="A44" s="1" t="s">
        <v>4</v>
      </c>
      <c r="B44" s="57" t="s">
        <v>5</v>
      </c>
      <c r="C44" s="53"/>
      <c r="D44" s="53"/>
      <c r="E44" s="53"/>
      <c r="F44" s="53"/>
      <c r="G44" s="53"/>
      <c r="H44" s="53"/>
    </row>
    <row r="45" spans="1:8" x14ac:dyDescent="0.2">
      <c r="A45" s="1" t="s">
        <v>6</v>
      </c>
      <c r="B45" s="53" t="s">
        <v>7</v>
      </c>
      <c r="C45" s="53"/>
      <c r="D45" s="53"/>
      <c r="E45" s="53"/>
      <c r="F45" s="53"/>
      <c r="G45" s="53"/>
      <c r="H45" s="53"/>
    </row>
    <row r="46" spans="1:8" x14ac:dyDescent="0.2">
      <c r="A46" s="1" t="s">
        <v>8</v>
      </c>
      <c r="B46" s="53" t="s">
        <v>7</v>
      </c>
      <c r="C46" s="53"/>
      <c r="D46" s="53"/>
      <c r="E46" s="53"/>
      <c r="F46" s="53"/>
      <c r="G46" s="53"/>
      <c r="H46" s="53"/>
    </row>
  </sheetData>
  <sheetProtection algorithmName="SHA-512" hashValue="aNlUqsWcTFIuZbO9Mz9928x6+wkG9XcxuV8diN+UgO1NYuIwkorPEi6XRMy+sYwVurIizYQsqvFpj7mX7HeakA==" saltValue="5Y+VUQSKWGjkM674iyHrxw==" spinCount="100000" sheet="1" objects="1" scenarios="1"/>
  <mergeCells count="11">
    <mergeCell ref="D2:F2"/>
    <mergeCell ref="A9:I9"/>
    <mergeCell ref="A10:I10"/>
    <mergeCell ref="A12:I12"/>
    <mergeCell ref="A13:I13"/>
    <mergeCell ref="B46:H46"/>
    <mergeCell ref="A24:I24"/>
    <mergeCell ref="A28:I28"/>
    <mergeCell ref="B43:H43"/>
    <mergeCell ref="B44:H44"/>
    <mergeCell ref="B45:H45"/>
  </mergeCells>
  <pageMargins left="0.9055118110236221" right="0.51181102362204722" top="0.74803149606299213" bottom="0.74803149606299213" header="0.31496062992125984" footer="0.31496062992125984"/>
  <pageSetup paperSize="9" orientation="portrait" useFirstPageNumber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L22"/>
  <sheetViews>
    <sheetView zoomScaleNormal="100" workbookViewId="0">
      <selection activeCell="M1" sqref="M1:M1048576"/>
    </sheetView>
  </sheetViews>
  <sheetFormatPr defaultColWidth="8.5703125" defaultRowHeight="12.75" customHeight="1" x14ac:dyDescent="0.2"/>
  <cols>
    <col min="1" max="1" width="16.7109375" style="1" customWidth="1"/>
    <col min="2" max="2" width="19.5703125" style="1" customWidth="1"/>
    <col min="3" max="3" width="21" style="1" customWidth="1"/>
    <col min="4" max="4" width="8.5703125" style="1" customWidth="1"/>
    <col min="5" max="16384" width="8.5703125" style="1"/>
  </cols>
  <sheetData>
    <row r="5" spans="1:12" ht="26.25" customHeight="1" x14ac:dyDescent="0.4">
      <c r="A5" s="61" t="s">
        <v>9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</row>
    <row r="8" spans="1:12" s="4" customFormat="1" ht="23.1" customHeight="1" x14ac:dyDescent="0.2">
      <c r="A8" s="5" t="s">
        <v>10</v>
      </c>
      <c r="B8" s="5" t="s">
        <v>11</v>
      </c>
      <c r="C8" s="5" t="s">
        <v>12</v>
      </c>
      <c r="D8" s="62" t="s">
        <v>13</v>
      </c>
      <c r="E8" s="63"/>
      <c r="F8" s="63"/>
      <c r="G8" s="63"/>
      <c r="H8" s="63"/>
      <c r="I8" s="63"/>
      <c r="J8" s="63"/>
      <c r="K8" s="63"/>
      <c r="L8" s="64"/>
    </row>
    <row r="9" spans="1:12" ht="23.25" customHeight="1" x14ac:dyDescent="0.3">
      <c r="A9" s="6" t="s">
        <v>14</v>
      </c>
      <c r="B9" s="7"/>
      <c r="C9" s="8">
        <v>45771.325134722225</v>
      </c>
      <c r="D9" s="65" t="s">
        <v>15</v>
      </c>
      <c r="E9" s="66"/>
      <c r="F9" s="66"/>
      <c r="G9" s="66"/>
      <c r="H9" s="66"/>
      <c r="I9" s="66"/>
      <c r="J9" s="66"/>
      <c r="K9" s="66"/>
      <c r="L9" s="67"/>
    </row>
    <row r="10" spans="1:12" ht="23.25" customHeight="1" x14ac:dyDescent="0.3">
      <c r="A10" s="6" t="s">
        <v>16</v>
      </c>
      <c r="B10" s="7"/>
      <c r="C10" s="8">
        <v>45932.295465428237</v>
      </c>
      <c r="D10" s="9" t="s">
        <v>17</v>
      </c>
      <c r="E10" s="10"/>
      <c r="F10" s="10"/>
      <c r="G10" s="10"/>
      <c r="H10" s="10"/>
      <c r="I10" s="10"/>
      <c r="J10" s="10"/>
      <c r="K10" s="10"/>
      <c r="L10" s="11"/>
    </row>
    <row r="11" spans="1:12" ht="23.25" customHeight="1" x14ac:dyDescent="0.3">
      <c r="A11" s="6" t="s">
        <v>18</v>
      </c>
      <c r="B11" s="7"/>
      <c r="C11" s="8">
        <v>45952.447447337967</v>
      </c>
      <c r="D11" s="9" t="s">
        <v>19</v>
      </c>
      <c r="E11" s="10"/>
      <c r="F11" s="10"/>
      <c r="G11" s="10"/>
      <c r="H11" s="10"/>
      <c r="I11" s="10"/>
      <c r="J11" s="10"/>
      <c r="K11" s="10"/>
      <c r="L11" s="11"/>
    </row>
    <row r="12" spans="1:12" ht="23.25" customHeight="1" x14ac:dyDescent="0.3">
      <c r="A12" s="6" t="s">
        <v>20</v>
      </c>
      <c r="B12" s="7"/>
      <c r="C12" s="8">
        <v>45967.57498986111</v>
      </c>
      <c r="D12" s="9" t="s">
        <v>21</v>
      </c>
      <c r="E12" s="10"/>
      <c r="F12" s="10"/>
      <c r="G12" s="10"/>
      <c r="H12" s="10"/>
      <c r="I12" s="10"/>
      <c r="J12" s="10"/>
      <c r="K12" s="10"/>
      <c r="L12" s="11"/>
    </row>
    <row r="13" spans="1:12" ht="23.25" customHeight="1" x14ac:dyDescent="0.3">
      <c r="A13" s="6" t="s">
        <v>5</v>
      </c>
      <c r="B13" s="7"/>
      <c r="C13" s="8">
        <v>45980.574988425928</v>
      </c>
      <c r="D13" s="9" t="s">
        <v>22</v>
      </c>
      <c r="E13" s="10"/>
      <c r="F13" s="10"/>
      <c r="G13" s="10"/>
      <c r="H13" s="10"/>
      <c r="I13" s="10"/>
      <c r="J13" s="10"/>
      <c r="K13" s="10"/>
      <c r="L13" s="11"/>
    </row>
    <row r="20" spans="2:3" x14ac:dyDescent="0.2">
      <c r="C20" s="1" t="s">
        <v>23</v>
      </c>
    </row>
    <row r="22" spans="2:3" x14ac:dyDescent="0.2">
      <c r="B22" s="1" t="s">
        <v>24</v>
      </c>
    </row>
  </sheetData>
  <sheetProtection algorithmName="SHA-512" hashValue="Xdj3pAOfr3vo1lhMcdGAClwvOlTG4UaaTfIJJkB+Yh36FdZF589jGV4ngFM3BsfzhxqS4a6urhAhyQX8nFe4eQ==" saltValue="xR1RCVd7LSIB3/ZB2UxLHw==" spinCount="100000" sheet="1" insertRows="0"/>
  <mergeCells count="3">
    <mergeCell ref="A5:L5"/>
    <mergeCell ref="D8:L8"/>
    <mergeCell ref="D9:L9"/>
  </mergeCells>
  <pageMargins left="0.9055118110236221" right="0.51181102362204722" top="0.94488188976377963" bottom="0.74803149606299213" header="0.31496062992125984" footer="0.31496062992125984"/>
  <pageSetup paperSize="9" scale="57" fitToHeight="0" orientation="portrait" useFirstPageNumber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7"/>
  <sheetViews>
    <sheetView view="pageBreakPreview" topLeftCell="A27" zoomScaleNormal="100" zoomScaleSheetLayoutView="100" workbookViewId="0">
      <selection activeCell="D16" sqref="D16:E16"/>
    </sheetView>
  </sheetViews>
  <sheetFormatPr defaultColWidth="8.5703125" defaultRowHeight="12.75" customHeight="1" x14ac:dyDescent="0.2"/>
  <cols>
    <col min="1" max="1" width="9.42578125" style="1" customWidth="1"/>
    <col min="2" max="2" width="67.5703125" style="1" customWidth="1"/>
    <col min="3" max="3" width="14.5703125" style="1" customWidth="1"/>
    <col min="4" max="4" width="32.7109375" style="1" customWidth="1"/>
    <col min="5" max="5" width="17.140625" style="1" customWidth="1"/>
    <col min="6" max="6" width="8.5703125" style="1" customWidth="1"/>
    <col min="7" max="16384" width="8.5703125" style="1"/>
  </cols>
  <sheetData>
    <row r="1" spans="1:7" ht="33.75" customHeight="1" x14ac:dyDescent="0.2">
      <c r="A1" s="113" t="s">
        <v>25</v>
      </c>
      <c r="B1" s="113"/>
      <c r="C1" s="113"/>
      <c r="D1" s="113"/>
      <c r="E1" s="113"/>
      <c r="F1" s="12"/>
      <c r="G1" s="12"/>
    </row>
    <row r="2" spans="1:7" ht="7.5" customHeight="1" x14ac:dyDescent="0.2">
      <c r="A2" s="2"/>
      <c r="B2" s="3"/>
      <c r="C2" s="3"/>
      <c r="D2" s="3"/>
      <c r="E2" s="12"/>
      <c r="F2" s="12"/>
      <c r="G2" s="12"/>
    </row>
    <row r="3" spans="1:7" ht="52.5" customHeight="1" x14ac:dyDescent="0.25">
      <c r="A3" s="114" t="s">
        <v>26</v>
      </c>
      <c r="B3" s="114"/>
      <c r="C3" s="114"/>
      <c r="D3" s="114"/>
      <c r="E3" s="114"/>
      <c r="F3" s="13"/>
      <c r="G3" s="13"/>
    </row>
    <row r="4" spans="1:7" ht="24.75" customHeight="1" x14ac:dyDescent="0.35">
      <c r="A4" s="115" t="s">
        <v>27</v>
      </c>
      <c r="B4" s="115"/>
      <c r="C4" s="115"/>
      <c r="D4" s="115"/>
      <c r="E4" s="115"/>
      <c r="F4" s="13"/>
      <c r="G4" s="13"/>
    </row>
    <row r="5" spans="1:7" ht="25.5" customHeight="1" x14ac:dyDescent="0.25">
      <c r="A5" s="116" t="s">
        <v>7</v>
      </c>
      <c r="B5" s="116"/>
      <c r="C5" s="116"/>
      <c r="D5" s="116"/>
      <c r="E5" s="116"/>
      <c r="F5" s="13"/>
      <c r="G5" s="13"/>
    </row>
    <row r="6" spans="1:7" s="14" customFormat="1" ht="25.5" customHeight="1" x14ac:dyDescent="0.25">
      <c r="A6" s="117" t="s">
        <v>28</v>
      </c>
      <c r="B6" s="118"/>
      <c r="C6" s="118"/>
      <c r="D6" s="118"/>
      <c r="E6" s="119"/>
    </row>
    <row r="7" spans="1:7" s="14" customFormat="1" ht="42" customHeight="1" x14ac:dyDescent="0.35">
      <c r="A7" s="15" t="s">
        <v>29</v>
      </c>
      <c r="B7" s="105" t="s">
        <v>30</v>
      </c>
      <c r="C7" s="106"/>
      <c r="D7" s="107" t="s">
        <v>31</v>
      </c>
      <c r="E7" s="108"/>
    </row>
    <row r="8" spans="1:7" s="16" customFormat="1" ht="18.75" customHeight="1" x14ac:dyDescent="0.3">
      <c r="A8" s="17" t="s">
        <v>32</v>
      </c>
      <c r="B8" s="109" t="s">
        <v>33</v>
      </c>
      <c r="C8" s="110"/>
      <c r="D8" s="111">
        <f>'3 Spor'!T18</f>
        <v>13156356</v>
      </c>
      <c r="E8" s="112"/>
    </row>
    <row r="9" spans="1:7" s="16" customFormat="1" ht="18.75" customHeight="1" x14ac:dyDescent="0.3">
      <c r="A9" s="17" t="s">
        <v>34</v>
      </c>
      <c r="B9" s="97" t="s">
        <v>35</v>
      </c>
      <c r="C9" s="98"/>
      <c r="D9" s="99">
        <f>'4 Jord og ballast'!T16</f>
        <v>5385023</v>
      </c>
      <c r="E9" s="100"/>
    </row>
    <row r="10" spans="1:7" s="16" customFormat="1" ht="18.75" customHeight="1" x14ac:dyDescent="0.3">
      <c r="A10" s="17" t="s">
        <v>36</v>
      </c>
      <c r="B10" s="97" t="s">
        <v>37</v>
      </c>
      <c r="C10" s="98"/>
      <c r="D10" s="99">
        <f>'5 Afvanding'!T81</f>
        <v>35853511</v>
      </c>
      <c r="E10" s="100"/>
    </row>
    <row r="11" spans="1:7" s="16" customFormat="1" ht="18.75" customHeight="1" x14ac:dyDescent="0.3">
      <c r="A11" s="17" t="s">
        <v>38</v>
      </c>
      <c r="B11" s="97" t="s">
        <v>39</v>
      </c>
      <c r="C11" s="98"/>
      <c r="D11" s="99">
        <f>'6 Kabelomlægning og føringsveje'!T22</f>
        <v>5951162</v>
      </c>
      <c r="E11" s="100"/>
    </row>
    <row r="12" spans="1:7" s="16" customFormat="1" ht="18.75" customHeight="1" x14ac:dyDescent="0.3">
      <c r="A12" s="17" t="s">
        <v>40</v>
      </c>
      <c r="B12" s="97" t="s">
        <v>41</v>
      </c>
      <c r="C12" s="98"/>
      <c r="D12" s="99">
        <f>'8 Perroner'!T14</f>
        <v>1424178</v>
      </c>
      <c r="E12" s="100"/>
    </row>
    <row r="13" spans="1:7" s="16" customFormat="1" ht="18.75" customHeight="1" x14ac:dyDescent="0.3">
      <c r="A13" s="17" t="s">
        <v>42</v>
      </c>
      <c r="B13" s="97" t="s">
        <v>43</v>
      </c>
      <c r="C13" s="98"/>
      <c r="D13" s="99">
        <f>'9 Kørestrøm'!T58</f>
        <v>11396006</v>
      </c>
      <c r="E13" s="100"/>
    </row>
    <row r="14" spans="1:7" s="16" customFormat="1" ht="18.75" customHeight="1" x14ac:dyDescent="0.3">
      <c r="A14" s="17" t="s">
        <v>44</v>
      </c>
      <c r="B14" s="97" t="s">
        <v>45</v>
      </c>
      <c r="C14" s="98"/>
      <c r="D14" s="99">
        <f>'10 Sikring'!T33</f>
        <v>6696915</v>
      </c>
      <c r="E14" s="100"/>
    </row>
    <row r="15" spans="1:7" s="16" customFormat="1" ht="18.75" customHeight="1" x14ac:dyDescent="0.3">
      <c r="A15" s="17" t="s">
        <v>46</v>
      </c>
      <c r="B15" s="97" t="s">
        <v>47</v>
      </c>
      <c r="C15" s="98"/>
      <c r="D15" s="99">
        <f>'12 Broer og konstruktioner'!T26</f>
        <v>2369231</v>
      </c>
      <c r="E15" s="100"/>
    </row>
    <row r="16" spans="1:7" s="16" customFormat="1" ht="18.75" customHeight="1" x14ac:dyDescent="0.3">
      <c r="A16" s="17" t="s">
        <v>48</v>
      </c>
      <c r="B16" s="97" t="s">
        <v>49</v>
      </c>
      <c r="C16" s="98"/>
      <c r="D16" s="99">
        <f>'14 Håndtering og bortskaffelse'!T19</f>
        <v>9974303</v>
      </c>
      <c r="E16" s="100"/>
    </row>
    <row r="17" spans="1:5" s="16" customFormat="1" ht="18.75" customHeight="1" x14ac:dyDescent="0.3">
      <c r="A17" s="17" t="s">
        <v>50</v>
      </c>
      <c r="B17" s="97" t="s">
        <v>51</v>
      </c>
      <c r="C17" s="98"/>
      <c r="D17" s="99">
        <f>'15 Administration og arbejdspla'!T43</f>
        <v>48827255</v>
      </c>
      <c r="E17" s="100"/>
    </row>
    <row r="18" spans="1:5" s="16" customFormat="1" ht="18.75" customHeight="1" x14ac:dyDescent="0.3">
      <c r="A18" s="17" t="s">
        <v>52</v>
      </c>
      <c r="B18" s="97" t="s">
        <v>53</v>
      </c>
      <c r="C18" s="98"/>
      <c r="D18" s="99">
        <f>'16 Ændringsydelser'!T50</f>
        <v>8877758</v>
      </c>
      <c r="E18" s="100"/>
    </row>
    <row r="19" spans="1:5" s="16" customFormat="1" ht="18.75" customHeight="1" x14ac:dyDescent="0.3">
      <c r="A19" s="17"/>
      <c r="B19" s="97"/>
      <c r="C19" s="98"/>
      <c r="D19" s="99"/>
      <c r="E19" s="100"/>
    </row>
    <row r="20" spans="1:5" s="18" customFormat="1" ht="18.75" customHeight="1" x14ac:dyDescent="0.25">
      <c r="A20" s="19"/>
      <c r="B20" s="101"/>
      <c r="C20" s="102"/>
      <c r="D20" s="103"/>
      <c r="E20" s="104"/>
    </row>
    <row r="21" spans="1:5" s="16" customFormat="1" ht="18.75" customHeight="1" x14ac:dyDescent="0.3">
      <c r="A21" s="17"/>
      <c r="B21" s="97"/>
      <c r="C21" s="98"/>
      <c r="D21" s="99"/>
      <c r="E21" s="100"/>
    </row>
    <row r="22" spans="1:5" s="16" customFormat="1" ht="18.75" customHeight="1" x14ac:dyDescent="0.3">
      <c r="A22" s="17"/>
      <c r="B22" s="97"/>
      <c r="C22" s="98"/>
      <c r="D22" s="99"/>
      <c r="E22" s="100"/>
    </row>
    <row r="23" spans="1:5" s="16" customFormat="1" ht="18.75" customHeight="1" x14ac:dyDescent="0.3">
      <c r="A23" s="17"/>
      <c r="B23" s="97"/>
      <c r="C23" s="98"/>
      <c r="D23" s="99"/>
      <c r="E23" s="100"/>
    </row>
    <row r="24" spans="1:5" s="16" customFormat="1" ht="18.75" customHeight="1" x14ac:dyDescent="0.3">
      <c r="A24" s="17"/>
      <c r="B24" s="97"/>
      <c r="C24" s="98"/>
      <c r="D24" s="99"/>
      <c r="E24" s="100"/>
    </row>
    <row r="25" spans="1:5" s="16" customFormat="1" ht="19.5" customHeight="1" x14ac:dyDescent="0.3">
      <c r="A25" s="17"/>
      <c r="B25" s="85"/>
      <c r="C25" s="86"/>
      <c r="D25" s="87"/>
      <c r="E25" s="88"/>
    </row>
    <row r="26" spans="1:5" s="16" customFormat="1" ht="19.5" customHeight="1" x14ac:dyDescent="0.3">
      <c r="A26" s="20"/>
      <c r="B26" s="89" t="s">
        <v>54</v>
      </c>
      <c r="C26" s="90"/>
      <c r="D26" s="91">
        <f>SUM(D8:D25)</f>
        <v>149911698</v>
      </c>
      <c r="E26" s="92"/>
    </row>
    <row r="27" spans="1:5" s="14" customFormat="1" ht="13.5" customHeight="1" x14ac:dyDescent="0.25">
      <c r="A27" s="21"/>
      <c r="B27" s="22"/>
      <c r="C27" s="22"/>
      <c r="D27" s="23"/>
      <c r="E27" s="24"/>
    </row>
    <row r="28" spans="1:5" ht="16.5" customHeight="1" x14ac:dyDescent="0.25">
      <c r="A28" s="93" t="s">
        <v>55</v>
      </c>
      <c r="B28" s="94"/>
      <c r="C28" s="95" t="s">
        <v>56</v>
      </c>
      <c r="D28" s="95"/>
      <c r="E28" s="96"/>
    </row>
    <row r="29" spans="1:5" ht="17.25" customHeight="1" x14ac:dyDescent="0.25">
      <c r="A29" s="76"/>
      <c r="B29" s="76"/>
      <c r="C29" s="76"/>
      <c r="D29" s="76"/>
      <c r="E29" s="76"/>
    </row>
    <row r="30" spans="1:5" ht="16.5" customHeight="1" x14ac:dyDescent="0.25">
      <c r="A30" s="77" t="s">
        <v>57</v>
      </c>
      <c r="B30" s="77"/>
      <c r="C30" s="25"/>
      <c r="D30" s="26"/>
      <c r="E30" s="26"/>
    </row>
    <row r="31" spans="1:5" ht="15.75" customHeight="1" x14ac:dyDescent="0.25">
      <c r="A31" s="78" t="s">
        <v>58</v>
      </c>
      <c r="B31" s="79"/>
      <c r="C31" s="80" t="s">
        <v>59</v>
      </c>
      <c r="D31" s="80"/>
      <c r="E31" s="27" t="s">
        <v>60</v>
      </c>
    </row>
    <row r="32" spans="1:5" ht="15.75" customHeight="1" x14ac:dyDescent="0.25">
      <c r="A32" s="14"/>
      <c r="B32" s="14"/>
      <c r="C32" s="14"/>
      <c r="D32" s="14"/>
      <c r="E32" s="14"/>
    </row>
    <row r="33" spans="1:5" ht="15.75" customHeight="1" x14ac:dyDescent="0.2">
      <c r="A33" s="81" t="s">
        <v>61</v>
      </c>
      <c r="B33" s="82"/>
      <c r="C33" s="83" t="s">
        <v>62</v>
      </c>
      <c r="D33" s="83"/>
      <c r="E33" s="84"/>
    </row>
    <row r="34" spans="1:5" ht="15.75" customHeight="1" x14ac:dyDescent="0.2">
      <c r="A34" s="71" t="s">
        <v>63</v>
      </c>
      <c r="B34" s="72"/>
      <c r="C34" s="73" t="s">
        <v>64</v>
      </c>
      <c r="D34" s="73"/>
      <c r="E34" s="74"/>
    </row>
    <row r="35" spans="1:5" ht="15.75" customHeight="1" x14ac:dyDescent="0.25">
      <c r="A35" s="14"/>
      <c r="B35" s="14"/>
      <c r="C35" s="14"/>
      <c r="D35" s="14"/>
      <c r="E35" s="14"/>
    </row>
    <row r="36" spans="1:5" ht="15.75" customHeight="1" x14ac:dyDescent="0.2">
      <c r="A36" s="69" t="s">
        <v>65</v>
      </c>
      <c r="B36" s="69"/>
      <c r="C36" s="75" t="s">
        <v>66</v>
      </c>
      <c r="D36" s="75"/>
      <c r="E36" s="75"/>
    </row>
    <row r="37" spans="1:5" ht="8.1" customHeight="1" x14ac:dyDescent="0.25">
      <c r="A37" s="14"/>
      <c r="B37" s="14"/>
      <c r="C37" s="14"/>
      <c r="D37" s="14"/>
      <c r="E37" s="14"/>
    </row>
    <row r="38" spans="1:5" ht="18.75" customHeight="1" x14ac:dyDescent="0.25">
      <c r="A38" s="14" t="s">
        <v>67</v>
      </c>
      <c r="B38" s="69" t="s">
        <v>68</v>
      </c>
      <c r="C38" s="69"/>
      <c r="D38" s="69"/>
      <c r="E38" s="69"/>
    </row>
    <row r="39" spans="1:5" ht="21.75" customHeight="1" x14ac:dyDescent="0.25">
      <c r="A39" s="14" t="s">
        <v>69</v>
      </c>
      <c r="B39" s="69" t="s">
        <v>70</v>
      </c>
      <c r="C39" s="69"/>
      <c r="D39" s="69"/>
      <c r="E39" s="69"/>
    </row>
    <row r="40" spans="1:5" ht="20.25" customHeight="1" x14ac:dyDescent="0.25">
      <c r="A40" s="14" t="s">
        <v>71</v>
      </c>
      <c r="B40" s="69" t="s">
        <v>72</v>
      </c>
      <c r="C40" s="69"/>
      <c r="D40" s="69"/>
      <c r="E40" s="69"/>
    </row>
    <row r="41" spans="1:5" ht="21.75" customHeight="1" x14ac:dyDescent="0.25">
      <c r="A41" s="14" t="s">
        <v>73</v>
      </c>
      <c r="B41" s="69" t="s">
        <v>74</v>
      </c>
      <c r="C41" s="69"/>
      <c r="D41" s="69"/>
      <c r="E41" s="69"/>
    </row>
    <row r="42" spans="1:5" ht="15.75" customHeight="1" x14ac:dyDescent="0.25">
      <c r="A42" s="14"/>
      <c r="B42" s="14"/>
      <c r="C42" s="14"/>
      <c r="D42" s="14"/>
      <c r="E42" s="14"/>
    </row>
    <row r="43" spans="1:5" ht="29.85" customHeight="1" x14ac:dyDescent="0.25">
      <c r="A43" s="70" t="s">
        <v>75</v>
      </c>
      <c r="B43" s="70"/>
      <c r="C43" s="70"/>
      <c r="D43" s="70"/>
      <c r="E43" s="14"/>
    </row>
    <row r="44" spans="1:5" ht="42" customHeight="1" x14ac:dyDescent="0.25">
      <c r="A44" s="68" t="s">
        <v>76</v>
      </c>
      <c r="B44" s="68"/>
      <c r="C44" s="68"/>
      <c r="D44" s="68"/>
      <c r="E44" s="68"/>
    </row>
    <row r="45" spans="1:5" ht="15.75" customHeight="1" x14ac:dyDescent="0.25">
      <c r="A45" s="14"/>
      <c r="B45" s="14"/>
      <c r="C45" s="14"/>
      <c r="D45" s="14"/>
      <c r="E45" s="14"/>
    </row>
    <row r="46" spans="1:5" ht="46.5" customHeight="1" x14ac:dyDescent="0.25">
      <c r="A46" s="68" t="s">
        <v>77</v>
      </c>
      <c r="B46" s="68"/>
      <c r="C46" s="68"/>
      <c r="D46" s="68"/>
      <c r="E46" s="68"/>
    </row>
    <row r="47" spans="1:5" ht="15.75" customHeight="1" x14ac:dyDescent="0.25">
      <c r="A47" s="14" t="s">
        <v>78</v>
      </c>
      <c r="B47" s="14"/>
      <c r="C47" s="14"/>
      <c r="D47" s="14"/>
      <c r="E47" s="14"/>
    </row>
  </sheetData>
  <sheetProtection algorithmName="SHA-512" hashValue="awdryKlTmaV1Owk5SMrhNUGFPzi+KUH0T1rX+m2ldnTMvR0n+WqQKWee1suufC3zOEASKmOdLztgG8M3RTiMqg==" saltValue="+hnLFUdUTqp4EEzFPHv2Pw==" spinCount="100000" sheet="1" objects="1" scenarios="1"/>
  <mergeCells count="64">
    <mergeCell ref="A1:E1"/>
    <mergeCell ref="A3:E3"/>
    <mergeCell ref="A4:E4"/>
    <mergeCell ref="A5:E5"/>
    <mergeCell ref="A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A28:B28"/>
    <mergeCell ref="C28:E28"/>
    <mergeCell ref="A29:E29"/>
    <mergeCell ref="A30:B30"/>
    <mergeCell ref="A31:B31"/>
    <mergeCell ref="C31:D31"/>
    <mergeCell ref="A33:B33"/>
    <mergeCell ref="C33:E33"/>
    <mergeCell ref="A34:B34"/>
    <mergeCell ref="C34:E34"/>
    <mergeCell ref="A36:B36"/>
    <mergeCell ref="C36:E36"/>
    <mergeCell ref="B38:E38"/>
    <mergeCell ref="A46:E46"/>
    <mergeCell ref="B39:E39"/>
    <mergeCell ref="B40:E40"/>
    <mergeCell ref="B41:E41"/>
    <mergeCell ref="A43:D43"/>
    <mergeCell ref="A44:E44"/>
  </mergeCells>
  <pageMargins left="0.9055118110236221" right="0.51181102362204722" top="0.94488188976377963" bottom="0.74803149606299213" header="0.31496062992125984" footer="0.31496062992125984"/>
  <pageSetup paperSize="9" scale="61" fitToHeight="0" orientation="portrait" useFirstPageNumber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19"/>
  <sheetViews>
    <sheetView tabSelected="1" view="pageBreakPreview" zoomScale="85" zoomScaleNormal="100" zoomScaleSheetLayoutView="85" workbookViewId="0">
      <selection activeCell="C37" sqref="C37"/>
    </sheetView>
  </sheetViews>
  <sheetFormatPr defaultRowHeight="15" x14ac:dyDescent="0.25"/>
  <cols>
    <col min="1" max="1" width="12" customWidth="1"/>
    <col min="2" max="2" width="75" customWidth="1"/>
    <col min="3" max="20" width="20" customWidth="1"/>
  </cols>
  <sheetData>
    <row r="1" spans="1:20" s="28" customFormat="1" ht="90" customHeight="1" x14ac:dyDescent="0.25">
      <c r="A1" s="29" t="s">
        <v>79</v>
      </c>
      <c r="B1" s="28" t="s">
        <v>33</v>
      </c>
      <c r="C1" s="30" t="s">
        <v>80</v>
      </c>
      <c r="D1" s="30" t="s">
        <v>81</v>
      </c>
      <c r="E1" s="30" t="s">
        <v>82</v>
      </c>
      <c r="F1" s="30" t="s">
        <v>83</v>
      </c>
      <c r="G1" s="30" t="s">
        <v>84</v>
      </c>
      <c r="H1" s="30" t="s">
        <v>85</v>
      </c>
      <c r="I1" s="30" t="s">
        <v>86</v>
      </c>
      <c r="J1" s="30" t="s">
        <v>87</v>
      </c>
      <c r="K1" s="30" t="s">
        <v>88</v>
      </c>
      <c r="L1" s="30" t="s">
        <v>89</v>
      </c>
      <c r="M1" s="30" t="s">
        <v>90</v>
      </c>
      <c r="N1" s="30" t="s">
        <v>91</v>
      </c>
      <c r="O1" s="30" t="s">
        <v>92</v>
      </c>
      <c r="P1" s="30" t="s">
        <v>93</v>
      </c>
      <c r="Q1" s="30" t="s">
        <v>94</v>
      </c>
      <c r="R1" s="30" t="s">
        <v>95</v>
      </c>
      <c r="S1" s="31" t="s">
        <v>96</v>
      </c>
      <c r="T1" s="30" t="s">
        <v>97</v>
      </c>
    </row>
    <row r="2" spans="1:20" s="32" customFormat="1" ht="15.75" x14ac:dyDescent="0.25">
      <c r="A2" s="32" t="s">
        <v>32</v>
      </c>
      <c r="B2" s="32" t="s">
        <v>33</v>
      </c>
      <c r="C2" s="33" t="s">
        <v>98</v>
      </c>
      <c r="S2" s="34"/>
      <c r="T2" s="35">
        <f t="shared" ref="T2:T16" si="0">R2*S2</f>
        <v>0</v>
      </c>
    </row>
    <row r="3" spans="1:20" s="36" customFormat="1" x14ac:dyDescent="0.25">
      <c r="A3" s="28" t="s">
        <v>99</v>
      </c>
      <c r="B3" s="28" t="s">
        <v>100</v>
      </c>
      <c r="C3" s="50" t="s">
        <v>98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51"/>
      <c r="T3" s="52">
        <f t="shared" si="0"/>
        <v>0</v>
      </c>
    </row>
    <row r="4" spans="1:20" s="36" customFormat="1" x14ac:dyDescent="0.25">
      <c r="A4" s="28" t="s">
        <v>101</v>
      </c>
      <c r="B4" s="28" t="s">
        <v>102</v>
      </c>
      <c r="C4" s="50" t="s">
        <v>98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51"/>
      <c r="T4" s="52">
        <f t="shared" si="0"/>
        <v>0</v>
      </c>
    </row>
    <row r="5" spans="1:20" s="37" customFormat="1" x14ac:dyDescent="0.25">
      <c r="A5" s="37" t="s">
        <v>103</v>
      </c>
      <c r="B5" s="37" t="s">
        <v>104</v>
      </c>
      <c r="C5" s="38" t="s">
        <v>105</v>
      </c>
      <c r="D5" s="37">
        <v>0</v>
      </c>
      <c r="E5" s="37">
        <v>492</v>
      </c>
      <c r="F5" s="37">
        <v>0</v>
      </c>
      <c r="G5" s="37">
        <v>143</v>
      </c>
      <c r="H5" s="37">
        <v>0</v>
      </c>
      <c r="I5" s="37">
        <v>140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f>SUM(D5:Q5)</f>
        <v>775</v>
      </c>
      <c r="S5" s="39">
        <v>7494</v>
      </c>
      <c r="T5" s="40">
        <f t="shared" si="0"/>
        <v>5807850</v>
      </c>
    </row>
    <row r="6" spans="1:20" s="36" customFormat="1" x14ac:dyDescent="0.25">
      <c r="A6" s="28" t="s">
        <v>106</v>
      </c>
      <c r="B6" s="28" t="s">
        <v>107</v>
      </c>
      <c r="C6" s="50" t="s">
        <v>98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37"/>
      <c r="S6" s="51"/>
      <c r="T6" s="52">
        <f t="shared" si="0"/>
        <v>0</v>
      </c>
    </row>
    <row r="7" spans="1:20" s="37" customFormat="1" x14ac:dyDescent="0.25">
      <c r="A7" s="37" t="s">
        <v>108</v>
      </c>
      <c r="B7" s="37" t="s">
        <v>109</v>
      </c>
      <c r="C7" s="38" t="s">
        <v>98</v>
      </c>
      <c r="S7" s="39"/>
      <c r="T7" s="40">
        <f t="shared" si="0"/>
        <v>0</v>
      </c>
    </row>
    <row r="8" spans="1:20" s="37" customFormat="1" x14ac:dyDescent="0.25">
      <c r="A8" s="37" t="s">
        <v>110</v>
      </c>
      <c r="B8" s="37" t="s">
        <v>111</v>
      </c>
      <c r="C8" s="38" t="s">
        <v>105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18000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f t="shared" ref="R8:R16" si="1">SUM(D8:Q8)</f>
        <v>18000</v>
      </c>
      <c r="S8" s="39">
        <v>101</v>
      </c>
      <c r="T8" s="40">
        <f t="shared" si="0"/>
        <v>1818000</v>
      </c>
    </row>
    <row r="9" spans="1:20" s="36" customFormat="1" x14ac:dyDescent="0.25">
      <c r="A9" s="28" t="s">
        <v>112</v>
      </c>
      <c r="B9" s="28" t="s">
        <v>113</v>
      </c>
      <c r="C9" s="50" t="s">
        <v>98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37"/>
      <c r="S9" s="51"/>
      <c r="T9" s="52">
        <f t="shared" si="0"/>
        <v>0</v>
      </c>
    </row>
    <row r="10" spans="1:20" s="37" customFormat="1" x14ac:dyDescent="0.25">
      <c r="A10" s="37" t="s">
        <v>114</v>
      </c>
      <c r="B10" s="37" t="s">
        <v>115</v>
      </c>
      <c r="C10" s="38" t="s">
        <v>105</v>
      </c>
      <c r="D10" s="37">
        <v>0</v>
      </c>
      <c r="E10" s="37">
        <v>492</v>
      </c>
      <c r="F10" s="37">
        <v>0</v>
      </c>
      <c r="G10" s="37">
        <v>143</v>
      </c>
      <c r="H10" s="37">
        <v>0</v>
      </c>
      <c r="I10" s="37">
        <v>140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f t="shared" si="1"/>
        <v>775</v>
      </c>
      <c r="S10" s="39">
        <v>1008</v>
      </c>
      <c r="T10" s="40">
        <f t="shared" si="0"/>
        <v>781200</v>
      </c>
    </row>
    <row r="11" spans="1:20" s="37" customFormat="1" x14ac:dyDescent="0.25">
      <c r="A11" s="37" t="s">
        <v>116</v>
      </c>
      <c r="B11" s="37" t="s">
        <v>117</v>
      </c>
      <c r="C11" s="38" t="s">
        <v>105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18000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f t="shared" si="1"/>
        <v>18000</v>
      </c>
      <c r="S11" s="39">
        <v>145</v>
      </c>
      <c r="T11" s="40">
        <f t="shared" si="0"/>
        <v>2610000</v>
      </c>
    </row>
    <row r="12" spans="1:20" s="37" customFormat="1" x14ac:dyDescent="0.25">
      <c r="A12" s="37" t="s">
        <v>118</v>
      </c>
      <c r="B12" s="37" t="s">
        <v>119</v>
      </c>
      <c r="C12" s="38" t="s">
        <v>120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4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f t="shared" si="1"/>
        <v>4</v>
      </c>
      <c r="S12" s="39">
        <v>122531</v>
      </c>
      <c r="T12" s="40">
        <f t="shared" si="0"/>
        <v>490124</v>
      </c>
    </row>
    <row r="13" spans="1:20" s="37" customFormat="1" x14ac:dyDescent="0.25">
      <c r="A13" s="37" t="s">
        <v>121</v>
      </c>
      <c r="B13" s="37" t="s">
        <v>122</v>
      </c>
      <c r="C13" s="38" t="s">
        <v>105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18800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f t="shared" si="1"/>
        <v>18800</v>
      </c>
      <c r="S13" s="39">
        <v>17.5</v>
      </c>
      <c r="T13" s="40">
        <f t="shared" si="0"/>
        <v>329000</v>
      </c>
    </row>
    <row r="14" spans="1:20" s="37" customFormat="1" x14ac:dyDescent="0.25">
      <c r="A14" s="37" t="s">
        <v>123</v>
      </c>
      <c r="B14" s="37" t="s">
        <v>124</v>
      </c>
      <c r="C14" s="38" t="s">
        <v>120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13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f t="shared" si="1"/>
        <v>13</v>
      </c>
      <c r="S14" s="39">
        <v>16814</v>
      </c>
      <c r="T14" s="40">
        <f t="shared" si="0"/>
        <v>218582</v>
      </c>
    </row>
    <row r="15" spans="1:20" s="36" customFormat="1" x14ac:dyDescent="0.25">
      <c r="A15" s="28" t="s">
        <v>125</v>
      </c>
      <c r="B15" s="28" t="s">
        <v>126</v>
      </c>
      <c r="C15" s="50" t="s">
        <v>98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37"/>
      <c r="S15" s="51"/>
      <c r="T15" s="52">
        <f t="shared" si="0"/>
        <v>0</v>
      </c>
    </row>
    <row r="16" spans="1:20" s="37" customFormat="1" x14ac:dyDescent="0.25">
      <c r="A16" s="37" t="s">
        <v>127</v>
      </c>
      <c r="B16" s="37" t="s">
        <v>128</v>
      </c>
      <c r="C16" s="38" t="s">
        <v>105</v>
      </c>
      <c r="D16" s="37">
        <v>8400</v>
      </c>
      <c r="E16" s="37">
        <v>0</v>
      </c>
      <c r="F16" s="37">
        <v>0</v>
      </c>
      <c r="G16" s="37">
        <v>0</v>
      </c>
      <c r="H16" s="37">
        <v>0</v>
      </c>
      <c r="I16" s="37">
        <v>18800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f t="shared" si="1"/>
        <v>27200</v>
      </c>
      <c r="S16" s="39">
        <v>40.5</v>
      </c>
      <c r="T16" s="40">
        <f t="shared" si="0"/>
        <v>1101600</v>
      </c>
    </row>
    <row r="18" spans="1:20" s="41" customFormat="1" x14ac:dyDescent="0.25">
      <c r="B18" s="41" t="s">
        <v>129</v>
      </c>
      <c r="S18" s="42"/>
      <c r="T18" s="43">
        <f>SUM(T2:T16)</f>
        <v>13156356</v>
      </c>
    </row>
    <row r="19" spans="1:20" x14ac:dyDescent="0.25">
      <c r="A19" t="s">
        <v>98</v>
      </c>
      <c r="B19" t="s">
        <v>130</v>
      </c>
      <c r="S19" s="44"/>
    </row>
  </sheetData>
  <pageMargins left="0.6" right="0.4" top="0.6" bottom="0.4" header="0.2" footer="0.2"/>
  <pageSetup paperSize="8" scale="4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17"/>
  <sheetViews>
    <sheetView view="pageBreakPreview" zoomScale="85" zoomScaleNormal="100" zoomScaleSheetLayoutView="85" workbookViewId="0">
      <selection activeCell="D3" sqref="D3"/>
    </sheetView>
  </sheetViews>
  <sheetFormatPr defaultRowHeight="15" x14ac:dyDescent="0.25"/>
  <cols>
    <col min="1" max="1" width="12" customWidth="1"/>
    <col min="2" max="2" width="75" customWidth="1"/>
    <col min="3" max="20" width="20" customWidth="1"/>
  </cols>
  <sheetData>
    <row r="1" spans="1:20" s="28" customFormat="1" ht="90" customHeight="1" x14ac:dyDescent="0.25">
      <c r="A1" s="29" t="s">
        <v>79</v>
      </c>
      <c r="B1" s="28" t="s">
        <v>35</v>
      </c>
      <c r="C1" s="30" t="s">
        <v>80</v>
      </c>
      <c r="D1" s="30" t="s">
        <v>81</v>
      </c>
      <c r="E1" s="30" t="s">
        <v>82</v>
      </c>
      <c r="F1" s="30" t="s">
        <v>83</v>
      </c>
      <c r="G1" s="30" t="s">
        <v>84</v>
      </c>
      <c r="H1" s="30" t="s">
        <v>85</v>
      </c>
      <c r="I1" s="30" t="s">
        <v>86</v>
      </c>
      <c r="J1" s="30" t="s">
        <v>87</v>
      </c>
      <c r="K1" s="30" t="s">
        <v>88</v>
      </c>
      <c r="L1" s="30" t="s">
        <v>89</v>
      </c>
      <c r="M1" s="30" t="s">
        <v>90</v>
      </c>
      <c r="N1" s="30" t="s">
        <v>91</v>
      </c>
      <c r="O1" s="30" t="s">
        <v>92</v>
      </c>
      <c r="P1" s="30" t="s">
        <v>93</v>
      </c>
      <c r="Q1" s="30" t="s">
        <v>94</v>
      </c>
      <c r="R1" s="30" t="s">
        <v>95</v>
      </c>
      <c r="S1" s="31" t="s">
        <v>96</v>
      </c>
      <c r="T1" s="30" t="s">
        <v>97</v>
      </c>
    </row>
    <row r="2" spans="1:20" s="32" customFormat="1" ht="15.75" x14ac:dyDescent="0.25">
      <c r="A2" s="32" t="s">
        <v>34</v>
      </c>
      <c r="B2" s="32" t="s">
        <v>35</v>
      </c>
      <c r="C2" s="33" t="s">
        <v>98</v>
      </c>
      <c r="S2" s="34"/>
      <c r="T2" s="35">
        <f t="shared" ref="T2:T14" si="0">R2*S2</f>
        <v>0</v>
      </c>
    </row>
    <row r="3" spans="1:20" s="36" customFormat="1" x14ac:dyDescent="0.25">
      <c r="A3" s="28" t="s">
        <v>131</v>
      </c>
      <c r="B3" s="28" t="s">
        <v>132</v>
      </c>
      <c r="C3" s="50" t="s">
        <v>98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51"/>
      <c r="T3" s="52">
        <f t="shared" si="0"/>
        <v>0</v>
      </c>
    </row>
    <row r="4" spans="1:20" s="37" customFormat="1" x14ac:dyDescent="0.25">
      <c r="A4" s="37" t="s">
        <v>133</v>
      </c>
      <c r="B4" s="37" t="s">
        <v>134</v>
      </c>
      <c r="C4" s="38" t="s">
        <v>135</v>
      </c>
      <c r="D4" s="37">
        <v>4</v>
      </c>
      <c r="E4" s="37">
        <v>84</v>
      </c>
      <c r="F4" s="37">
        <v>0</v>
      </c>
      <c r="G4" s="37">
        <v>0</v>
      </c>
      <c r="H4" s="37">
        <v>0</v>
      </c>
      <c r="I4" s="37">
        <v>1417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>
        <v>0</v>
      </c>
      <c r="R4" s="37">
        <f>SUM(D4:Q4)</f>
        <v>1505</v>
      </c>
      <c r="S4" s="39">
        <v>402</v>
      </c>
      <c r="T4" s="40">
        <f t="shared" si="0"/>
        <v>605010</v>
      </c>
    </row>
    <row r="5" spans="1:20" s="37" customFormat="1" x14ac:dyDescent="0.25">
      <c r="A5" s="37" t="s">
        <v>136</v>
      </c>
      <c r="B5" s="37" t="s">
        <v>137</v>
      </c>
      <c r="C5" s="38" t="s">
        <v>135</v>
      </c>
      <c r="D5" s="37">
        <v>0</v>
      </c>
      <c r="E5" s="37">
        <v>257</v>
      </c>
      <c r="F5" s="37">
        <v>0</v>
      </c>
      <c r="G5" s="37">
        <v>0</v>
      </c>
      <c r="H5" s="37">
        <v>0</v>
      </c>
      <c r="I5" s="37">
        <v>14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f t="shared" ref="R5:R14" si="1">SUM(D5:Q5)</f>
        <v>271</v>
      </c>
      <c r="S5" s="39">
        <v>442</v>
      </c>
      <c r="T5" s="40">
        <f t="shared" si="0"/>
        <v>119782</v>
      </c>
    </row>
    <row r="6" spans="1:20" s="37" customFormat="1" x14ac:dyDescent="0.25">
      <c r="A6" s="37" t="s">
        <v>138</v>
      </c>
      <c r="B6" s="37" t="s">
        <v>139</v>
      </c>
      <c r="C6" s="38" t="s">
        <v>135</v>
      </c>
      <c r="D6" s="37">
        <v>43</v>
      </c>
      <c r="E6" s="37">
        <v>0</v>
      </c>
      <c r="F6" s="37">
        <v>0</v>
      </c>
      <c r="G6" s="37">
        <v>0</v>
      </c>
      <c r="H6" s="37">
        <v>0</v>
      </c>
      <c r="I6" s="37">
        <v>10845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f t="shared" si="1"/>
        <v>10888</v>
      </c>
      <c r="S6" s="39">
        <v>252</v>
      </c>
      <c r="T6" s="40">
        <f t="shared" si="0"/>
        <v>2743776</v>
      </c>
    </row>
    <row r="7" spans="1:20" s="37" customFormat="1" x14ac:dyDescent="0.25">
      <c r="A7" s="37" t="s">
        <v>140</v>
      </c>
      <c r="B7" s="37" t="s">
        <v>141</v>
      </c>
      <c r="C7" s="38" t="s">
        <v>135</v>
      </c>
      <c r="D7" s="37">
        <v>0</v>
      </c>
      <c r="E7" s="37">
        <v>244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f t="shared" si="1"/>
        <v>244</v>
      </c>
      <c r="S7" s="39">
        <v>344</v>
      </c>
      <c r="T7" s="40">
        <f t="shared" si="0"/>
        <v>83936</v>
      </c>
    </row>
    <row r="8" spans="1:20" s="37" customFormat="1" x14ac:dyDescent="0.25">
      <c r="A8" s="37" t="s">
        <v>142</v>
      </c>
      <c r="B8" s="37" t="s">
        <v>143</v>
      </c>
      <c r="C8" s="38" t="s">
        <v>135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1985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f t="shared" si="1"/>
        <v>1985</v>
      </c>
      <c r="S8" s="39">
        <v>400</v>
      </c>
      <c r="T8" s="40">
        <f t="shared" si="0"/>
        <v>794000</v>
      </c>
    </row>
    <row r="9" spans="1:20" s="36" customFormat="1" x14ac:dyDescent="0.25">
      <c r="A9" s="28" t="s">
        <v>144</v>
      </c>
      <c r="B9" s="28" t="s">
        <v>145</v>
      </c>
      <c r="C9" s="50" t="s">
        <v>98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37"/>
      <c r="S9" s="51"/>
      <c r="T9" s="52">
        <f t="shared" si="0"/>
        <v>0</v>
      </c>
    </row>
    <row r="10" spans="1:20" s="36" customFormat="1" x14ac:dyDescent="0.25">
      <c r="A10" s="28" t="s">
        <v>146</v>
      </c>
      <c r="B10" s="28" t="s">
        <v>147</v>
      </c>
      <c r="C10" s="50" t="s">
        <v>98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37"/>
      <c r="S10" s="51"/>
      <c r="T10" s="52">
        <f t="shared" si="0"/>
        <v>0</v>
      </c>
    </row>
    <row r="11" spans="1:20" s="37" customFormat="1" x14ac:dyDescent="0.25">
      <c r="A11" s="37" t="s">
        <v>148</v>
      </c>
      <c r="B11" s="37" t="s">
        <v>149</v>
      </c>
      <c r="C11" s="38" t="s">
        <v>120</v>
      </c>
      <c r="D11" s="37">
        <v>0</v>
      </c>
      <c r="E11" s="37">
        <v>6</v>
      </c>
      <c r="F11" s="37">
        <v>0</v>
      </c>
      <c r="G11" s="37">
        <v>6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f t="shared" si="1"/>
        <v>12</v>
      </c>
      <c r="S11" s="39">
        <v>18544</v>
      </c>
      <c r="T11" s="40">
        <f t="shared" si="0"/>
        <v>222528</v>
      </c>
    </row>
    <row r="12" spans="1:20" s="37" customFormat="1" x14ac:dyDescent="0.25">
      <c r="A12" s="37" t="s">
        <v>150</v>
      </c>
      <c r="B12" s="37" t="s">
        <v>151</v>
      </c>
      <c r="C12" s="38" t="s">
        <v>152</v>
      </c>
      <c r="D12" s="37">
        <v>0</v>
      </c>
      <c r="E12" s="37">
        <v>135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f t="shared" si="1"/>
        <v>135</v>
      </c>
      <c r="S12" s="39">
        <v>1509</v>
      </c>
      <c r="T12" s="40">
        <f t="shared" si="0"/>
        <v>203715</v>
      </c>
    </row>
    <row r="13" spans="1:20" s="36" customFormat="1" x14ac:dyDescent="0.25">
      <c r="A13" s="28" t="s">
        <v>153</v>
      </c>
      <c r="B13" s="28" t="s">
        <v>154</v>
      </c>
      <c r="C13" s="50" t="s">
        <v>98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37"/>
      <c r="S13" s="51"/>
      <c r="T13" s="52">
        <f t="shared" si="0"/>
        <v>0</v>
      </c>
    </row>
    <row r="14" spans="1:20" s="37" customFormat="1" x14ac:dyDescent="0.25">
      <c r="A14" s="37" t="s">
        <v>155</v>
      </c>
      <c r="B14" s="37" t="s">
        <v>156</v>
      </c>
      <c r="C14" s="38" t="s">
        <v>105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16548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f t="shared" si="1"/>
        <v>16548</v>
      </c>
      <c r="S14" s="39">
        <v>37</v>
      </c>
      <c r="T14" s="40">
        <f t="shared" si="0"/>
        <v>612276</v>
      </c>
    </row>
    <row r="16" spans="1:20" s="41" customFormat="1" x14ac:dyDescent="0.25">
      <c r="B16" s="41" t="s">
        <v>129</v>
      </c>
      <c r="S16" s="42"/>
      <c r="T16" s="43">
        <f>SUM(T2:T14)</f>
        <v>5385023</v>
      </c>
    </row>
    <row r="17" spans="1:19" x14ac:dyDescent="0.25">
      <c r="A17" t="s">
        <v>98</v>
      </c>
      <c r="B17" t="s">
        <v>130</v>
      </c>
      <c r="S17" s="44"/>
    </row>
  </sheetData>
  <pageMargins left="0.6" right="0.4" top="0.6" bottom="0.4" header="0.2" footer="0.2"/>
  <pageSetup paperSize="8" scale="4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82"/>
  <sheetViews>
    <sheetView view="pageBreakPreview" zoomScale="85" zoomScaleNormal="85" zoomScaleSheetLayoutView="85" workbookViewId="0">
      <selection activeCell="E12" sqref="E12"/>
    </sheetView>
  </sheetViews>
  <sheetFormatPr defaultRowHeight="15" x14ac:dyDescent="0.25"/>
  <cols>
    <col min="1" max="1" width="12" customWidth="1"/>
    <col min="2" max="2" width="75" customWidth="1"/>
    <col min="3" max="20" width="20" customWidth="1"/>
  </cols>
  <sheetData>
    <row r="1" spans="1:20" s="28" customFormat="1" ht="90" customHeight="1" x14ac:dyDescent="0.25">
      <c r="A1" s="29" t="s">
        <v>79</v>
      </c>
      <c r="B1" s="28" t="s">
        <v>37</v>
      </c>
      <c r="C1" s="30" t="s">
        <v>80</v>
      </c>
      <c r="D1" s="30" t="s">
        <v>81</v>
      </c>
      <c r="E1" s="30" t="s">
        <v>82</v>
      </c>
      <c r="F1" s="30" t="s">
        <v>83</v>
      </c>
      <c r="G1" s="30" t="s">
        <v>84</v>
      </c>
      <c r="H1" s="30" t="s">
        <v>85</v>
      </c>
      <c r="I1" s="30" t="s">
        <v>86</v>
      </c>
      <c r="J1" s="30" t="s">
        <v>87</v>
      </c>
      <c r="K1" s="30" t="s">
        <v>88</v>
      </c>
      <c r="L1" s="30" t="s">
        <v>89</v>
      </c>
      <c r="M1" s="30" t="s">
        <v>90</v>
      </c>
      <c r="N1" s="30" t="s">
        <v>91</v>
      </c>
      <c r="O1" s="30" t="s">
        <v>92</v>
      </c>
      <c r="P1" s="30" t="s">
        <v>93</v>
      </c>
      <c r="Q1" s="30" t="s">
        <v>94</v>
      </c>
      <c r="R1" s="30" t="s">
        <v>95</v>
      </c>
      <c r="S1" s="31" t="s">
        <v>96</v>
      </c>
      <c r="T1" s="30" t="s">
        <v>97</v>
      </c>
    </row>
    <row r="2" spans="1:20" s="32" customFormat="1" ht="15.75" x14ac:dyDescent="0.25">
      <c r="A2" s="32" t="s">
        <v>36</v>
      </c>
      <c r="B2" s="32" t="s">
        <v>37</v>
      </c>
      <c r="C2" s="33" t="s">
        <v>98</v>
      </c>
      <c r="S2" s="34"/>
      <c r="T2" s="35">
        <f t="shared" ref="T2:T33" si="0">R2*S2</f>
        <v>0</v>
      </c>
    </row>
    <row r="3" spans="1:20" s="36" customFormat="1" x14ac:dyDescent="0.25">
      <c r="A3" s="28" t="s">
        <v>157</v>
      </c>
      <c r="B3" s="28" t="s">
        <v>158</v>
      </c>
      <c r="C3" s="50" t="s">
        <v>98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51"/>
      <c r="T3" s="52">
        <f t="shared" si="0"/>
        <v>0</v>
      </c>
    </row>
    <row r="4" spans="1:20" s="37" customFormat="1" x14ac:dyDescent="0.25">
      <c r="A4" s="37" t="s">
        <v>159</v>
      </c>
      <c r="B4" s="37" t="s">
        <v>160</v>
      </c>
      <c r="C4" s="38" t="s">
        <v>98</v>
      </c>
      <c r="S4" s="39"/>
      <c r="T4" s="40">
        <f t="shared" si="0"/>
        <v>0</v>
      </c>
    </row>
    <row r="5" spans="1:20" s="37" customFormat="1" x14ac:dyDescent="0.25">
      <c r="A5" s="37" t="s">
        <v>161</v>
      </c>
      <c r="B5" s="37" t="s">
        <v>162</v>
      </c>
      <c r="C5" s="38" t="s">
        <v>105</v>
      </c>
      <c r="D5" s="37">
        <v>0</v>
      </c>
      <c r="E5" s="37">
        <v>21</v>
      </c>
      <c r="F5" s="37">
        <v>0</v>
      </c>
      <c r="G5" s="37">
        <v>21</v>
      </c>
      <c r="H5" s="37">
        <v>0</v>
      </c>
      <c r="I5" s="37">
        <v>829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f>SUM(D5:Q5)</f>
        <v>871</v>
      </c>
      <c r="S5" s="39">
        <v>1965</v>
      </c>
      <c r="T5" s="40">
        <f t="shared" si="0"/>
        <v>1711515</v>
      </c>
    </row>
    <row r="6" spans="1:20" s="37" customFormat="1" x14ac:dyDescent="0.25">
      <c r="A6" s="37" t="s">
        <v>163</v>
      </c>
      <c r="B6" s="37" t="s">
        <v>164</v>
      </c>
      <c r="C6" s="38" t="s">
        <v>105</v>
      </c>
      <c r="D6" s="37">
        <v>0</v>
      </c>
      <c r="E6" s="37">
        <v>22</v>
      </c>
      <c r="F6" s="37">
        <v>0</v>
      </c>
      <c r="G6" s="37">
        <v>0</v>
      </c>
      <c r="H6" s="37">
        <v>25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f t="shared" ref="R6:R68" si="1">SUM(D6:Q6)</f>
        <v>47</v>
      </c>
      <c r="S6" s="39">
        <v>4025</v>
      </c>
      <c r="T6" s="40">
        <f t="shared" si="0"/>
        <v>189175</v>
      </c>
    </row>
    <row r="7" spans="1:20" s="37" customFormat="1" x14ac:dyDescent="0.25">
      <c r="A7" s="37" t="s">
        <v>165</v>
      </c>
      <c r="B7" s="37" t="s">
        <v>166</v>
      </c>
      <c r="C7" s="38" t="s">
        <v>98</v>
      </c>
      <c r="S7" s="39"/>
      <c r="T7" s="40">
        <f t="shared" si="0"/>
        <v>0</v>
      </c>
    </row>
    <row r="8" spans="1:20" s="37" customFormat="1" x14ac:dyDescent="0.25">
      <c r="A8" s="37" t="s">
        <v>167</v>
      </c>
      <c r="B8" s="37" t="s">
        <v>162</v>
      </c>
      <c r="C8" s="38" t="s">
        <v>105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1818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f t="shared" si="1"/>
        <v>1818</v>
      </c>
      <c r="S8" s="39">
        <v>2065</v>
      </c>
      <c r="T8" s="40">
        <f t="shared" si="0"/>
        <v>3754170</v>
      </c>
    </row>
    <row r="9" spans="1:20" s="37" customFormat="1" x14ac:dyDescent="0.25">
      <c r="A9" s="37" t="s">
        <v>168</v>
      </c>
      <c r="B9" s="37" t="s">
        <v>169</v>
      </c>
      <c r="C9" s="38" t="s">
        <v>105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2067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f t="shared" si="1"/>
        <v>2067</v>
      </c>
      <c r="S9" s="39">
        <v>2864</v>
      </c>
      <c r="T9" s="40">
        <f t="shared" si="0"/>
        <v>5919888</v>
      </c>
    </row>
    <row r="10" spans="1:20" s="37" customFormat="1" x14ac:dyDescent="0.25">
      <c r="A10" s="37" t="s">
        <v>170</v>
      </c>
      <c r="B10" s="37" t="s">
        <v>171</v>
      </c>
      <c r="C10" s="38" t="s">
        <v>105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1960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f t="shared" si="1"/>
        <v>1960</v>
      </c>
      <c r="S10" s="39">
        <v>3042</v>
      </c>
      <c r="T10" s="40">
        <f t="shared" si="0"/>
        <v>5962320</v>
      </c>
    </row>
    <row r="11" spans="1:20" s="37" customFormat="1" x14ac:dyDescent="0.25">
      <c r="A11" s="37" t="s">
        <v>172</v>
      </c>
      <c r="B11" s="37" t="s">
        <v>173</v>
      </c>
      <c r="C11" s="38" t="s">
        <v>105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1197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f t="shared" si="1"/>
        <v>1197</v>
      </c>
      <c r="S11" s="39">
        <v>3471</v>
      </c>
      <c r="T11" s="40">
        <f t="shared" si="0"/>
        <v>4154787</v>
      </c>
    </row>
    <row r="12" spans="1:20" s="36" customFormat="1" x14ac:dyDescent="0.25">
      <c r="A12" s="28" t="s">
        <v>174</v>
      </c>
      <c r="B12" s="28" t="s">
        <v>175</v>
      </c>
      <c r="C12" s="50" t="s">
        <v>98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37"/>
      <c r="S12" s="51"/>
      <c r="T12" s="52">
        <f t="shared" si="0"/>
        <v>0</v>
      </c>
    </row>
    <row r="13" spans="1:20" s="37" customFormat="1" x14ac:dyDescent="0.25">
      <c r="A13" s="37" t="s">
        <v>176</v>
      </c>
      <c r="B13" s="37" t="s">
        <v>177</v>
      </c>
      <c r="C13" s="38" t="s">
        <v>98</v>
      </c>
      <c r="S13" s="39"/>
      <c r="T13" s="40">
        <f t="shared" si="0"/>
        <v>0</v>
      </c>
    </row>
    <row r="14" spans="1:20" s="37" customFormat="1" x14ac:dyDescent="0.25">
      <c r="A14" s="37" t="s">
        <v>178</v>
      </c>
      <c r="B14" s="37" t="s">
        <v>179</v>
      </c>
      <c r="C14" s="38" t="s">
        <v>105</v>
      </c>
      <c r="D14" s="37">
        <v>0</v>
      </c>
      <c r="E14" s="37">
        <v>26</v>
      </c>
      <c r="F14" s="37">
        <v>0</v>
      </c>
      <c r="G14" s="37">
        <v>7</v>
      </c>
      <c r="H14" s="37">
        <v>0</v>
      </c>
      <c r="I14" s="37">
        <v>451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f t="shared" si="1"/>
        <v>484</v>
      </c>
      <c r="S14" s="39">
        <v>2463</v>
      </c>
      <c r="T14" s="40">
        <f t="shared" si="0"/>
        <v>1192092</v>
      </c>
    </row>
    <row r="15" spans="1:20" s="37" customFormat="1" x14ac:dyDescent="0.25">
      <c r="A15" s="37" t="s">
        <v>180</v>
      </c>
      <c r="B15" s="37" t="s">
        <v>181</v>
      </c>
      <c r="C15" s="38" t="s">
        <v>105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203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f t="shared" si="1"/>
        <v>203</v>
      </c>
      <c r="S15" s="39">
        <v>2945</v>
      </c>
      <c r="T15" s="40">
        <f t="shared" si="0"/>
        <v>597835</v>
      </c>
    </row>
    <row r="16" spans="1:20" s="37" customFormat="1" x14ac:dyDescent="0.25">
      <c r="A16" s="37" t="s">
        <v>182</v>
      </c>
      <c r="B16" s="37" t="s">
        <v>183</v>
      </c>
      <c r="C16" s="38" t="s">
        <v>105</v>
      </c>
      <c r="D16" s="37">
        <v>0</v>
      </c>
      <c r="E16" s="37">
        <v>24</v>
      </c>
      <c r="F16" s="37">
        <v>0</v>
      </c>
      <c r="G16" s="37">
        <v>0</v>
      </c>
      <c r="H16" s="37">
        <v>0</v>
      </c>
      <c r="I16" s="37">
        <v>212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f t="shared" si="1"/>
        <v>236</v>
      </c>
      <c r="S16" s="39">
        <v>3007</v>
      </c>
      <c r="T16" s="40">
        <f t="shared" si="0"/>
        <v>709652</v>
      </c>
    </row>
    <row r="17" spans="1:20" s="37" customFormat="1" x14ac:dyDescent="0.25">
      <c r="A17" s="37" t="s">
        <v>184</v>
      </c>
      <c r="B17" s="37" t="s">
        <v>185</v>
      </c>
      <c r="C17" s="38" t="s">
        <v>105</v>
      </c>
      <c r="D17" s="37">
        <v>0</v>
      </c>
      <c r="E17" s="37">
        <v>109</v>
      </c>
      <c r="F17" s="37">
        <v>0</v>
      </c>
      <c r="G17" s="37">
        <v>0</v>
      </c>
      <c r="H17" s="37">
        <v>0</v>
      </c>
      <c r="I17" s="37">
        <v>191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f t="shared" si="1"/>
        <v>300</v>
      </c>
      <c r="S17" s="39">
        <v>3392</v>
      </c>
      <c r="T17" s="40">
        <f t="shared" si="0"/>
        <v>1017600</v>
      </c>
    </row>
    <row r="18" spans="1:20" s="37" customFormat="1" x14ac:dyDescent="0.25">
      <c r="A18" s="37" t="s">
        <v>186</v>
      </c>
      <c r="B18" s="37" t="s">
        <v>187</v>
      </c>
      <c r="C18" s="38" t="s">
        <v>105</v>
      </c>
      <c r="D18" s="37">
        <v>0</v>
      </c>
      <c r="E18" s="37">
        <v>11</v>
      </c>
      <c r="F18" s="37">
        <v>0</v>
      </c>
      <c r="G18" s="37">
        <v>0</v>
      </c>
      <c r="H18" s="37">
        <v>0</v>
      </c>
      <c r="I18" s="37">
        <v>2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f t="shared" si="1"/>
        <v>13</v>
      </c>
      <c r="S18" s="39">
        <v>4240</v>
      </c>
      <c r="T18" s="40">
        <f t="shared" si="0"/>
        <v>55120</v>
      </c>
    </row>
    <row r="19" spans="1:20" s="37" customFormat="1" x14ac:dyDescent="0.25">
      <c r="A19" s="37" t="s">
        <v>188</v>
      </c>
      <c r="B19" s="37" t="s">
        <v>189</v>
      </c>
      <c r="C19" s="38" t="s">
        <v>98</v>
      </c>
      <c r="S19" s="39"/>
      <c r="T19" s="40">
        <f t="shared" si="0"/>
        <v>0</v>
      </c>
    </row>
    <row r="20" spans="1:20" s="37" customFormat="1" x14ac:dyDescent="0.25">
      <c r="A20" s="37" t="s">
        <v>190</v>
      </c>
      <c r="B20" s="37" t="s">
        <v>191</v>
      </c>
      <c r="C20" s="38" t="s">
        <v>120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148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f t="shared" si="1"/>
        <v>148</v>
      </c>
      <c r="S20" s="39">
        <v>2861</v>
      </c>
      <c r="T20" s="40">
        <f t="shared" si="0"/>
        <v>423428</v>
      </c>
    </row>
    <row r="21" spans="1:20" s="37" customFormat="1" x14ac:dyDescent="0.25">
      <c r="A21" s="37" t="s">
        <v>192</v>
      </c>
      <c r="B21" s="37" t="s">
        <v>193</v>
      </c>
      <c r="C21" s="38" t="s">
        <v>120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29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f t="shared" si="1"/>
        <v>29</v>
      </c>
      <c r="S21" s="39">
        <v>2861</v>
      </c>
      <c r="T21" s="40">
        <f t="shared" si="0"/>
        <v>82969</v>
      </c>
    </row>
    <row r="22" spans="1:20" s="36" customFormat="1" x14ac:dyDescent="0.25">
      <c r="A22" s="28" t="s">
        <v>194</v>
      </c>
      <c r="B22" s="28" t="s">
        <v>195</v>
      </c>
      <c r="C22" s="50" t="s">
        <v>98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37"/>
      <c r="S22" s="51"/>
      <c r="T22" s="52">
        <f t="shared" si="0"/>
        <v>0</v>
      </c>
    </row>
    <row r="23" spans="1:20" s="37" customFormat="1" x14ac:dyDescent="0.25">
      <c r="A23" s="37" t="s">
        <v>196</v>
      </c>
      <c r="B23" s="37" t="s">
        <v>197</v>
      </c>
      <c r="C23" s="38" t="s">
        <v>98</v>
      </c>
      <c r="S23" s="39"/>
      <c r="T23" s="40">
        <f t="shared" si="0"/>
        <v>0</v>
      </c>
    </row>
    <row r="24" spans="1:20" s="37" customFormat="1" x14ac:dyDescent="0.25">
      <c r="A24" s="37" t="s">
        <v>198</v>
      </c>
      <c r="B24" s="37" t="s">
        <v>199</v>
      </c>
      <c r="C24" s="38" t="s">
        <v>120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157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f t="shared" si="1"/>
        <v>157</v>
      </c>
      <c r="S24" s="39">
        <v>3923</v>
      </c>
      <c r="T24" s="40">
        <f t="shared" si="0"/>
        <v>615911</v>
      </c>
    </row>
    <row r="25" spans="1:20" s="37" customFormat="1" x14ac:dyDescent="0.25">
      <c r="A25" s="37" t="s">
        <v>200</v>
      </c>
      <c r="B25" s="37" t="s">
        <v>201</v>
      </c>
      <c r="C25" s="38" t="s">
        <v>120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82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f t="shared" si="1"/>
        <v>82</v>
      </c>
      <c r="S25" s="39">
        <v>6257</v>
      </c>
      <c r="T25" s="40">
        <f t="shared" si="0"/>
        <v>513074</v>
      </c>
    </row>
    <row r="26" spans="1:20" s="37" customFormat="1" x14ac:dyDescent="0.25">
      <c r="A26" s="37" t="s">
        <v>202</v>
      </c>
      <c r="B26" s="37" t="s">
        <v>203</v>
      </c>
      <c r="C26" s="38" t="s">
        <v>120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1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f t="shared" si="1"/>
        <v>1</v>
      </c>
      <c r="S26" s="39">
        <v>25501</v>
      </c>
      <c r="T26" s="40">
        <f t="shared" si="0"/>
        <v>25501</v>
      </c>
    </row>
    <row r="27" spans="1:20" s="36" customFormat="1" x14ac:dyDescent="0.25">
      <c r="A27" s="28" t="s">
        <v>204</v>
      </c>
      <c r="B27" s="28" t="s">
        <v>205</v>
      </c>
      <c r="C27" s="50" t="s">
        <v>98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37"/>
      <c r="S27" s="51"/>
      <c r="T27" s="52">
        <f t="shared" si="0"/>
        <v>0</v>
      </c>
    </row>
    <row r="28" spans="1:20" s="37" customFormat="1" x14ac:dyDescent="0.25">
      <c r="A28" s="37" t="s">
        <v>206</v>
      </c>
      <c r="B28" s="37" t="s">
        <v>207</v>
      </c>
      <c r="C28" s="38" t="s">
        <v>98</v>
      </c>
      <c r="S28" s="39"/>
      <c r="T28" s="40">
        <f t="shared" si="0"/>
        <v>0</v>
      </c>
    </row>
    <row r="29" spans="1:20" s="37" customFormat="1" x14ac:dyDescent="0.25">
      <c r="A29" s="37" t="s">
        <v>208</v>
      </c>
      <c r="B29" s="37" t="s">
        <v>201</v>
      </c>
      <c r="C29" s="38" t="s">
        <v>120</v>
      </c>
      <c r="D29" s="37">
        <v>4</v>
      </c>
      <c r="E29" s="37">
        <v>0</v>
      </c>
      <c r="F29" s="37">
        <v>0</v>
      </c>
      <c r="G29" s="37">
        <v>0</v>
      </c>
      <c r="H29" s="37">
        <v>0</v>
      </c>
      <c r="I29" s="37">
        <v>5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f t="shared" si="1"/>
        <v>9</v>
      </c>
      <c r="S29" s="39">
        <v>8043</v>
      </c>
      <c r="T29" s="40">
        <f t="shared" si="0"/>
        <v>72387</v>
      </c>
    </row>
    <row r="30" spans="1:20" s="37" customFormat="1" x14ac:dyDescent="0.25">
      <c r="A30" s="37" t="s">
        <v>209</v>
      </c>
      <c r="B30" s="37" t="s">
        <v>210</v>
      </c>
      <c r="C30" s="38" t="s">
        <v>120</v>
      </c>
      <c r="D30" s="37">
        <v>1</v>
      </c>
      <c r="E30" s="37">
        <v>0</v>
      </c>
      <c r="F30" s="37">
        <v>0</v>
      </c>
      <c r="G30" s="37">
        <v>0</v>
      </c>
      <c r="H30" s="37">
        <v>0</v>
      </c>
      <c r="I30" s="37">
        <v>1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f t="shared" si="1"/>
        <v>2</v>
      </c>
      <c r="S30" s="39">
        <v>19060</v>
      </c>
      <c r="T30" s="40">
        <f t="shared" si="0"/>
        <v>38120</v>
      </c>
    </row>
    <row r="31" spans="1:20" s="37" customFormat="1" x14ac:dyDescent="0.25">
      <c r="A31" s="37" t="s">
        <v>211</v>
      </c>
      <c r="B31" s="37" t="s">
        <v>212</v>
      </c>
      <c r="C31" s="38" t="s">
        <v>98</v>
      </c>
      <c r="S31" s="39"/>
      <c r="T31" s="40">
        <f t="shared" si="0"/>
        <v>0</v>
      </c>
    </row>
    <row r="32" spans="1:20" s="37" customFormat="1" x14ac:dyDescent="0.25">
      <c r="A32" s="37" t="s">
        <v>213</v>
      </c>
      <c r="B32" s="37" t="s">
        <v>201</v>
      </c>
      <c r="C32" s="38" t="s">
        <v>120</v>
      </c>
      <c r="D32" s="37">
        <v>6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f t="shared" si="1"/>
        <v>6</v>
      </c>
      <c r="S32" s="39">
        <v>15312</v>
      </c>
      <c r="T32" s="40">
        <f t="shared" si="0"/>
        <v>91872</v>
      </c>
    </row>
    <row r="33" spans="1:20" s="37" customFormat="1" x14ac:dyDescent="0.25">
      <c r="A33" s="37" t="s">
        <v>214</v>
      </c>
      <c r="B33" s="37" t="s">
        <v>210</v>
      </c>
      <c r="C33" s="38" t="s">
        <v>120</v>
      </c>
      <c r="D33" s="37">
        <v>3</v>
      </c>
      <c r="E33" s="37">
        <v>0</v>
      </c>
      <c r="F33" s="37">
        <v>0</v>
      </c>
      <c r="G33" s="37">
        <v>0</v>
      </c>
      <c r="H33" s="37">
        <v>0</v>
      </c>
      <c r="I33" s="37">
        <v>1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f t="shared" si="1"/>
        <v>4</v>
      </c>
      <c r="S33" s="39">
        <v>22731</v>
      </c>
      <c r="T33" s="40">
        <f t="shared" si="0"/>
        <v>90924</v>
      </c>
    </row>
    <row r="34" spans="1:20" s="36" customFormat="1" x14ac:dyDescent="0.25">
      <c r="A34" s="28" t="s">
        <v>215</v>
      </c>
      <c r="B34" s="28" t="s">
        <v>216</v>
      </c>
      <c r="C34" s="50" t="s">
        <v>98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37"/>
      <c r="S34" s="51"/>
      <c r="T34" s="52">
        <f t="shared" ref="T34:T65" si="2">R34*S34</f>
        <v>0</v>
      </c>
    </row>
    <row r="35" spans="1:20" s="37" customFormat="1" x14ac:dyDescent="0.25">
      <c r="A35" s="37" t="s">
        <v>217</v>
      </c>
      <c r="B35" s="37" t="s">
        <v>218</v>
      </c>
      <c r="C35" s="38" t="s">
        <v>105</v>
      </c>
      <c r="D35" s="37">
        <v>0</v>
      </c>
      <c r="E35" s="37">
        <v>190</v>
      </c>
      <c r="F35" s="37">
        <v>0</v>
      </c>
      <c r="G35" s="37">
        <v>31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f t="shared" si="1"/>
        <v>221</v>
      </c>
      <c r="S35" s="39">
        <v>179</v>
      </c>
      <c r="T35" s="40">
        <f t="shared" si="2"/>
        <v>39559</v>
      </c>
    </row>
    <row r="36" spans="1:20" s="37" customFormat="1" x14ac:dyDescent="0.25">
      <c r="A36" s="37" t="s">
        <v>219</v>
      </c>
      <c r="B36" s="37" t="s">
        <v>220</v>
      </c>
      <c r="C36" s="38" t="s">
        <v>120</v>
      </c>
      <c r="D36" s="37">
        <v>0</v>
      </c>
      <c r="E36" s="37">
        <v>5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f t="shared" si="1"/>
        <v>5</v>
      </c>
      <c r="S36" s="39">
        <v>24162</v>
      </c>
      <c r="T36" s="40">
        <f t="shared" si="2"/>
        <v>120810</v>
      </c>
    </row>
    <row r="37" spans="1:20" s="37" customFormat="1" x14ac:dyDescent="0.25">
      <c r="A37" s="37" t="s">
        <v>221</v>
      </c>
      <c r="B37" s="37" t="s">
        <v>222</v>
      </c>
      <c r="C37" s="38" t="s">
        <v>120</v>
      </c>
      <c r="D37" s="37">
        <v>0</v>
      </c>
      <c r="E37" s="37">
        <v>11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f t="shared" si="1"/>
        <v>11</v>
      </c>
      <c r="S37" s="39">
        <v>36374</v>
      </c>
      <c r="T37" s="40">
        <f t="shared" si="2"/>
        <v>400114</v>
      </c>
    </row>
    <row r="38" spans="1:20" s="36" customFormat="1" x14ac:dyDescent="0.25">
      <c r="A38" s="28" t="s">
        <v>223</v>
      </c>
      <c r="B38" s="28" t="s">
        <v>224</v>
      </c>
      <c r="C38" s="50" t="s">
        <v>98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37"/>
      <c r="S38" s="51"/>
      <c r="T38" s="52">
        <f t="shared" si="2"/>
        <v>0</v>
      </c>
    </row>
    <row r="39" spans="1:20" s="37" customFormat="1" x14ac:dyDescent="0.25">
      <c r="A39" s="37" t="s">
        <v>225</v>
      </c>
      <c r="B39" s="37" t="s">
        <v>226</v>
      </c>
      <c r="C39" s="38" t="s">
        <v>105</v>
      </c>
      <c r="D39" s="37">
        <v>0</v>
      </c>
      <c r="E39" s="37">
        <v>188</v>
      </c>
      <c r="F39" s="37">
        <v>0</v>
      </c>
      <c r="G39" s="37">
        <v>27</v>
      </c>
      <c r="H39" s="37">
        <v>0</v>
      </c>
      <c r="I39" s="37">
        <v>8929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f t="shared" si="1"/>
        <v>9144</v>
      </c>
      <c r="S39" s="39">
        <v>344</v>
      </c>
      <c r="T39" s="40">
        <f t="shared" si="2"/>
        <v>3145536</v>
      </c>
    </row>
    <row r="40" spans="1:20" s="37" customFormat="1" x14ac:dyDescent="0.25">
      <c r="A40" s="37" t="s">
        <v>227</v>
      </c>
      <c r="B40" s="37" t="s">
        <v>228</v>
      </c>
      <c r="C40" s="38" t="s">
        <v>105</v>
      </c>
      <c r="D40" s="37">
        <v>30</v>
      </c>
      <c r="E40" s="37">
        <v>0</v>
      </c>
      <c r="F40" s="37">
        <v>0</v>
      </c>
      <c r="G40" s="37">
        <v>0</v>
      </c>
      <c r="H40" s="37">
        <v>0</v>
      </c>
      <c r="I40" s="37">
        <v>250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f t="shared" si="1"/>
        <v>280</v>
      </c>
      <c r="S40" s="39">
        <v>1183</v>
      </c>
      <c r="T40" s="40">
        <f t="shared" si="2"/>
        <v>331240</v>
      </c>
    </row>
    <row r="41" spans="1:20" s="36" customFormat="1" x14ac:dyDescent="0.25">
      <c r="A41" s="28" t="s">
        <v>229</v>
      </c>
      <c r="B41" s="28" t="s">
        <v>230</v>
      </c>
      <c r="C41" s="50" t="s">
        <v>98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37"/>
      <c r="S41" s="51"/>
      <c r="T41" s="52">
        <f t="shared" si="2"/>
        <v>0</v>
      </c>
    </row>
    <row r="42" spans="1:20" s="37" customFormat="1" x14ac:dyDescent="0.25">
      <c r="A42" s="37" t="s">
        <v>231</v>
      </c>
      <c r="B42" s="37" t="s">
        <v>232</v>
      </c>
      <c r="C42" s="38" t="s">
        <v>105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394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f t="shared" si="1"/>
        <v>394</v>
      </c>
      <c r="S42" s="39">
        <v>916</v>
      </c>
      <c r="T42" s="40">
        <f t="shared" si="2"/>
        <v>360904</v>
      </c>
    </row>
    <row r="43" spans="1:20" s="37" customFormat="1" x14ac:dyDescent="0.25">
      <c r="A43" s="37" t="s">
        <v>233</v>
      </c>
      <c r="B43" s="37" t="s">
        <v>234</v>
      </c>
      <c r="C43" s="38" t="s">
        <v>98</v>
      </c>
      <c r="S43" s="39"/>
      <c r="T43" s="40">
        <f t="shared" si="2"/>
        <v>0</v>
      </c>
    </row>
    <row r="44" spans="1:20" s="37" customFormat="1" x14ac:dyDescent="0.25">
      <c r="A44" s="37" t="s">
        <v>235</v>
      </c>
      <c r="B44" s="37" t="s">
        <v>236</v>
      </c>
      <c r="C44" s="38" t="s">
        <v>120</v>
      </c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4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f t="shared" si="1"/>
        <v>4</v>
      </c>
      <c r="S44" s="39">
        <v>19689</v>
      </c>
      <c r="T44" s="40">
        <f t="shared" si="2"/>
        <v>78756</v>
      </c>
    </row>
    <row r="45" spans="1:20" s="37" customFormat="1" x14ac:dyDescent="0.25">
      <c r="A45" s="37" t="s">
        <v>237</v>
      </c>
      <c r="B45" s="37" t="s">
        <v>238</v>
      </c>
      <c r="C45" s="38" t="s">
        <v>120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14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f t="shared" si="1"/>
        <v>14</v>
      </c>
      <c r="S45" s="39">
        <v>8760</v>
      </c>
      <c r="T45" s="40">
        <f t="shared" si="2"/>
        <v>122640</v>
      </c>
    </row>
    <row r="46" spans="1:20" s="37" customFormat="1" x14ac:dyDescent="0.25">
      <c r="A46" s="37" t="s">
        <v>239</v>
      </c>
      <c r="B46" s="37" t="s">
        <v>240</v>
      </c>
      <c r="C46" s="38" t="s">
        <v>98</v>
      </c>
      <c r="S46" s="39"/>
      <c r="T46" s="40">
        <f t="shared" si="2"/>
        <v>0</v>
      </c>
    </row>
    <row r="47" spans="1:20" s="37" customFormat="1" x14ac:dyDescent="0.25">
      <c r="A47" s="37" t="s">
        <v>241</v>
      </c>
      <c r="B47" s="37" t="s">
        <v>242</v>
      </c>
      <c r="C47" s="38" t="s">
        <v>105</v>
      </c>
      <c r="D47" s="37">
        <v>0</v>
      </c>
      <c r="E47" s="37">
        <v>213</v>
      </c>
      <c r="F47" s="37">
        <v>0</v>
      </c>
      <c r="G47" s="37">
        <v>28</v>
      </c>
      <c r="H47" s="37">
        <v>25</v>
      </c>
      <c r="I47" s="37">
        <v>9325</v>
      </c>
      <c r="J47" s="37">
        <v>0</v>
      </c>
      <c r="K47" s="37">
        <v>0</v>
      </c>
      <c r="L47" s="37">
        <v>0</v>
      </c>
      <c r="M47" s="37">
        <v>0</v>
      </c>
      <c r="N47" s="37">
        <v>0</v>
      </c>
      <c r="O47" s="37">
        <v>0</v>
      </c>
      <c r="P47" s="37">
        <v>0</v>
      </c>
      <c r="Q47" s="37">
        <v>0</v>
      </c>
      <c r="R47" s="37">
        <f t="shared" si="1"/>
        <v>9591</v>
      </c>
      <c r="S47" s="39">
        <v>10</v>
      </c>
      <c r="T47" s="40">
        <f t="shared" si="2"/>
        <v>95910</v>
      </c>
    </row>
    <row r="48" spans="1:20" s="37" customFormat="1" x14ac:dyDescent="0.25">
      <c r="A48" s="37" t="s">
        <v>243</v>
      </c>
      <c r="B48" s="37" t="s">
        <v>244</v>
      </c>
      <c r="C48" s="38" t="s">
        <v>105</v>
      </c>
      <c r="D48" s="37">
        <v>0</v>
      </c>
      <c r="E48" s="37">
        <v>190</v>
      </c>
      <c r="F48" s="37">
        <v>0</v>
      </c>
      <c r="G48" s="37">
        <v>31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  <c r="Q48" s="37">
        <v>0</v>
      </c>
      <c r="R48" s="37">
        <f t="shared" si="1"/>
        <v>221</v>
      </c>
      <c r="S48" s="39">
        <v>14</v>
      </c>
      <c r="T48" s="40">
        <f t="shared" si="2"/>
        <v>3094</v>
      </c>
    </row>
    <row r="49" spans="1:20" s="37" customFormat="1" x14ac:dyDescent="0.25">
      <c r="A49" s="37" t="s">
        <v>245</v>
      </c>
      <c r="B49" s="37" t="s">
        <v>246</v>
      </c>
      <c r="C49" s="38" t="s">
        <v>120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263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37">
        <v>0</v>
      </c>
      <c r="P49" s="37">
        <v>0</v>
      </c>
      <c r="Q49" s="37">
        <v>0</v>
      </c>
      <c r="R49" s="37">
        <f t="shared" si="1"/>
        <v>263</v>
      </c>
      <c r="S49" s="39">
        <v>638</v>
      </c>
      <c r="T49" s="40">
        <f t="shared" si="2"/>
        <v>167794</v>
      </c>
    </row>
    <row r="50" spans="1:20" s="37" customFormat="1" x14ac:dyDescent="0.25">
      <c r="A50" s="37" t="s">
        <v>247</v>
      </c>
      <c r="B50" s="37" t="s">
        <v>248</v>
      </c>
      <c r="C50" s="38" t="s">
        <v>105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  <c r="K50" s="37">
        <v>0</v>
      </c>
      <c r="L50" s="37">
        <v>0</v>
      </c>
      <c r="M50" s="37">
        <v>0</v>
      </c>
      <c r="N50" s="37">
        <v>0</v>
      </c>
      <c r="O50" s="37">
        <v>0</v>
      </c>
      <c r="P50" s="37">
        <v>0</v>
      </c>
      <c r="Q50" s="37">
        <v>0</v>
      </c>
      <c r="R50" s="37">
        <f t="shared" si="1"/>
        <v>0</v>
      </c>
      <c r="S50" s="39"/>
      <c r="T50" s="40">
        <f t="shared" si="2"/>
        <v>0</v>
      </c>
    </row>
    <row r="51" spans="1:20" s="37" customFormat="1" x14ac:dyDescent="0.25">
      <c r="A51" s="37" t="s">
        <v>249</v>
      </c>
      <c r="B51" s="37" t="s">
        <v>250</v>
      </c>
      <c r="C51" s="38" t="s">
        <v>105</v>
      </c>
      <c r="D51" s="37">
        <v>27</v>
      </c>
      <c r="E51" s="37">
        <v>213</v>
      </c>
      <c r="F51" s="37">
        <v>0</v>
      </c>
      <c r="G51" s="37">
        <v>29</v>
      </c>
      <c r="H51" s="37">
        <v>25</v>
      </c>
      <c r="I51" s="37">
        <v>8930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f t="shared" si="1"/>
        <v>9224</v>
      </c>
      <c r="S51" s="39">
        <v>268</v>
      </c>
      <c r="T51" s="40">
        <f t="shared" si="2"/>
        <v>2472032</v>
      </c>
    </row>
    <row r="52" spans="1:20" s="36" customFormat="1" x14ac:dyDescent="0.25">
      <c r="A52" s="28" t="s">
        <v>251</v>
      </c>
      <c r="B52" s="28" t="s">
        <v>252</v>
      </c>
      <c r="C52" s="50" t="s">
        <v>98</v>
      </c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37"/>
      <c r="S52" s="51"/>
      <c r="T52" s="52">
        <f t="shared" si="2"/>
        <v>0</v>
      </c>
    </row>
    <row r="53" spans="1:20" s="37" customFormat="1" x14ac:dyDescent="0.25">
      <c r="A53" s="37" t="s">
        <v>253</v>
      </c>
      <c r="B53" s="37" t="s">
        <v>254</v>
      </c>
      <c r="C53" s="38" t="s">
        <v>255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>
        <v>0</v>
      </c>
      <c r="R53" s="37">
        <f t="shared" si="1"/>
        <v>0</v>
      </c>
      <c r="S53" s="39"/>
      <c r="T53" s="40">
        <f t="shared" si="2"/>
        <v>0</v>
      </c>
    </row>
    <row r="54" spans="1:20" s="37" customFormat="1" x14ac:dyDescent="0.25">
      <c r="A54" s="37" t="s">
        <v>256</v>
      </c>
      <c r="B54" s="37" t="s">
        <v>257</v>
      </c>
      <c r="C54" s="38" t="s">
        <v>255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1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37">
        <v>0</v>
      </c>
      <c r="P54" s="37">
        <v>0</v>
      </c>
      <c r="Q54" s="37">
        <v>0</v>
      </c>
      <c r="R54" s="37">
        <f t="shared" si="1"/>
        <v>1</v>
      </c>
      <c r="S54" s="39">
        <v>27322</v>
      </c>
      <c r="T54" s="40">
        <f t="shared" si="2"/>
        <v>27322</v>
      </c>
    </row>
    <row r="55" spans="1:20" s="37" customFormat="1" x14ac:dyDescent="0.25">
      <c r="A55" s="37" t="s">
        <v>258</v>
      </c>
      <c r="B55" s="37" t="s">
        <v>259</v>
      </c>
      <c r="C55" s="38" t="s">
        <v>255</v>
      </c>
      <c r="D55" s="37">
        <v>1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37">
        <v>0</v>
      </c>
      <c r="P55" s="37">
        <v>0</v>
      </c>
      <c r="Q55" s="37">
        <v>0</v>
      </c>
      <c r="R55" s="37">
        <f t="shared" si="1"/>
        <v>1</v>
      </c>
      <c r="S55" s="39">
        <v>9639</v>
      </c>
      <c r="T55" s="40">
        <f t="shared" si="2"/>
        <v>9639</v>
      </c>
    </row>
    <row r="56" spans="1:20" s="37" customFormat="1" x14ac:dyDescent="0.25">
      <c r="A56" s="37" t="s">
        <v>260</v>
      </c>
      <c r="B56" s="37" t="s">
        <v>261</v>
      </c>
      <c r="C56" s="38" t="s">
        <v>105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1</v>
      </c>
      <c r="J56" s="37">
        <v>0</v>
      </c>
      <c r="K56" s="37">
        <v>0</v>
      </c>
      <c r="L56" s="37">
        <v>0</v>
      </c>
      <c r="M56" s="37">
        <v>0</v>
      </c>
      <c r="N56" s="37">
        <v>0</v>
      </c>
      <c r="O56" s="37">
        <v>0</v>
      </c>
      <c r="P56" s="37">
        <v>0</v>
      </c>
      <c r="Q56" s="37">
        <v>0</v>
      </c>
      <c r="R56" s="37">
        <f t="shared" si="1"/>
        <v>1</v>
      </c>
      <c r="S56" s="39">
        <v>5444</v>
      </c>
      <c r="T56" s="40">
        <f t="shared" si="2"/>
        <v>5444</v>
      </c>
    </row>
    <row r="57" spans="1:20" s="37" customFormat="1" x14ac:dyDescent="0.25">
      <c r="A57" s="37" t="s">
        <v>262</v>
      </c>
      <c r="B57" s="37" t="s">
        <v>263</v>
      </c>
      <c r="C57" s="38" t="s">
        <v>255</v>
      </c>
      <c r="D57" s="37">
        <v>1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0</v>
      </c>
      <c r="N57" s="37">
        <v>0</v>
      </c>
      <c r="O57" s="37">
        <v>0</v>
      </c>
      <c r="P57" s="37">
        <v>0</v>
      </c>
      <c r="Q57" s="37">
        <v>0</v>
      </c>
      <c r="R57" s="37">
        <f t="shared" si="1"/>
        <v>1</v>
      </c>
      <c r="S57" s="39">
        <v>543710</v>
      </c>
      <c r="T57" s="40">
        <f t="shared" si="2"/>
        <v>543710</v>
      </c>
    </row>
    <row r="58" spans="1:20" s="37" customFormat="1" x14ac:dyDescent="0.25">
      <c r="A58" s="37" t="s">
        <v>264</v>
      </c>
      <c r="B58" s="37" t="s">
        <v>265</v>
      </c>
      <c r="C58" s="38" t="s">
        <v>255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  <c r="K58" s="37">
        <v>0</v>
      </c>
      <c r="L58" s="37">
        <v>0</v>
      </c>
      <c r="M58" s="37">
        <v>0</v>
      </c>
      <c r="N58" s="37">
        <v>0</v>
      </c>
      <c r="O58" s="37">
        <v>0</v>
      </c>
      <c r="P58" s="37">
        <v>0</v>
      </c>
      <c r="Q58" s="37">
        <v>0</v>
      </c>
      <c r="R58" s="37">
        <f t="shared" si="1"/>
        <v>0</v>
      </c>
      <c r="S58" s="39"/>
      <c r="T58" s="40">
        <f t="shared" si="2"/>
        <v>0</v>
      </c>
    </row>
    <row r="59" spans="1:20" s="37" customFormat="1" x14ac:dyDescent="0.25">
      <c r="A59" s="37" t="s">
        <v>266</v>
      </c>
      <c r="B59" s="37" t="s">
        <v>267</v>
      </c>
      <c r="C59" s="38" t="s">
        <v>255</v>
      </c>
      <c r="D59" s="37">
        <v>1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  <c r="K59" s="37">
        <v>0</v>
      </c>
      <c r="L59" s="37">
        <v>0</v>
      </c>
      <c r="M59" s="37">
        <v>0</v>
      </c>
      <c r="N59" s="37">
        <v>0</v>
      </c>
      <c r="O59" s="37">
        <v>0</v>
      </c>
      <c r="P59" s="37">
        <v>0</v>
      </c>
      <c r="Q59" s="37">
        <v>0</v>
      </c>
      <c r="R59" s="37">
        <f t="shared" si="1"/>
        <v>1</v>
      </c>
      <c r="S59" s="39">
        <v>27322</v>
      </c>
      <c r="T59" s="40">
        <f t="shared" si="2"/>
        <v>27322</v>
      </c>
    </row>
    <row r="60" spans="1:20" s="37" customFormat="1" x14ac:dyDescent="0.25">
      <c r="A60" s="37" t="s">
        <v>268</v>
      </c>
      <c r="B60" s="37" t="s">
        <v>269</v>
      </c>
      <c r="C60" s="38" t="s">
        <v>255</v>
      </c>
      <c r="D60" s="37">
        <v>1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  <c r="K60" s="37">
        <v>0</v>
      </c>
      <c r="L60" s="37">
        <v>0</v>
      </c>
      <c r="M60" s="37">
        <v>0</v>
      </c>
      <c r="N60" s="37">
        <v>0</v>
      </c>
      <c r="O60" s="37">
        <v>0</v>
      </c>
      <c r="P60" s="37">
        <v>0</v>
      </c>
      <c r="Q60" s="37">
        <v>0</v>
      </c>
      <c r="R60" s="37">
        <f t="shared" si="1"/>
        <v>1</v>
      </c>
      <c r="S60" s="39">
        <v>109106</v>
      </c>
      <c r="T60" s="40">
        <f t="shared" si="2"/>
        <v>109106</v>
      </c>
    </row>
    <row r="61" spans="1:20" s="37" customFormat="1" x14ac:dyDescent="0.25">
      <c r="A61" s="37" t="s">
        <v>270</v>
      </c>
      <c r="B61" s="37" t="s">
        <v>261</v>
      </c>
      <c r="C61" s="38" t="s">
        <v>255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1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  <c r="O61" s="37">
        <v>0</v>
      </c>
      <c r="P61" s="37">
        <v>0</v>
      </c>
      <c r="Q61" s="37">
        <v>0</v>
      </c>
      <c r="R61" s="37">
        <f t="shared" si="1"/>
        <v>1</v>
      </c>
      <c r="S61" s="39">
        <v>4586</v>
      </c>
      <c r="T61" s="40">
        <f t="shared" si="2"/>
        <v>4586</v>
      </c>
    </row>
    <row r="62" spans="1:20" s="37" customFormat="1" x14ac:dyDescent="0.25">
      <c r="A62" s="37" t="s">
        <v>271</v>
      </c>
      <c r="B62" s="37" t="s">
        <v>272</v>
      </c>
      <c r="C62" s="38" t="s">
        <v>255</v>
      </c>
      <c r="S62" s="39"/>
      <c r="T62" s="40">
        <f t="shared" si="2"/>
        <v>0</v>
      </c>
    </row>
    <row r="63" spans="1:20" s="37" customFormat="1" x14ac:dyDescent="0.25">
      <c r="A63" s="37" t="s">
        <v>273</v>
      </c>
      <c r="B63" s="37" t="s">
        <v>267</v>
      </c>
      <c r="C63" s="38" t="s">
        <v>255</v>
      </c>
      <c r="D63" s="37">
        <v>1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  <c r="K63" s="37">
        <v>0</v>
      </c>
      <c r="L63" s="37">
        <v>0</v>
      </c>
      <c r="M63" s="37">
        <v>0</v>
      </c>
      <c r="N63" s="37">
        <v>0</v>
      </c>
      <c r="O63" s="37">
        <v>0</v>
      </c>
      <c r="P63" s="37">
        <v>0</v>
      </c>
      <c r="Q63" s="37">
        <v>0</v>
      </c>
      <c r="R63" s="37">
        <f t="shared" si="1"/>
        <v>1</v>
      </c>
      <c r="S63" s="39">
        <v>27322</v>
      </c>
      <c r="T63" s="40">
        <f t="shared" si="2"/>
        <v>27322</v>
      </c>
    </row>
    <row r="64" spans="1:20" s="37" customFormat="1" x14ac:dyDescent="0.25">
      <c r="A64" s="37" t="s">
        <v>274</v>
      </c>
      <c r="B64" s="37" t="s">
        <v>275</v>
      </c>
      <c r="C64" s="38" t="s">
        <v>255</v>
      </c>
      <c r="D64" s="37">
        <v>1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  <c r="K64" s="37">
        <v>0</v>
      </c>
      <c r="L64" s="37">
        <v>0</v>
      </c>
      <c r="M64" s="37">
        <v>0</v>
      </c>
      <c r="N64" s="37">
        <v>0</v>
      </c>
      <c r="O64" s="37">
        <v>0</v>
      </c>
      <c r="P64" s="37">
        <v>0</v>
      </c>
      <c r="Q64" s="37">
        <v>0</v>
      </c>
      <c r="R64" s="37">
        <f t="shared" si="1"/>
        <v>1</v>
      </c>
      <c r="S64" s="39">
        <v>109835</v>
      </c>
      <c r="T64" s="40">
        <f t="shared" si="2"/>
        <v>109835</v>
      </c>
    </row>
    <row r="65" spans="1:20" s="37" customFormat="1" x14ac:dyDescent="0.25">
      <c r="A65" s="37" t="s">
        <v>276</v>
      </c>
      <c r="B65" s="37" t="s">
        <v>277</v>
      </c>
      <c r="C65" s="38" t="s">
        <v>255</v>
      </c>
      <c r="S65" s="39"/>
      <c r="T65" s="40">
        <f t="shared" si="2"/>
        <v>0</v>
      </c>
    </row>
    <row r="66" spans="1:20" s="37" customFormat="1" x14ac:dyDescent="0.25">
      <c r="A66" s="37" t="s">
        <v>278</v>
      </c>
      <c r="B66" s="37" t="s">
        <v>267</v>
      </c>
      <c r="C66" s="38" t="s">
        <v>255</v>
      </c>
      <c r="D66" s="37">
        <v>1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0</v>
      </c>
      <c r="O66" s="37">
        <v>0</v>
      </c>
      <c r="P66" s="37">
        <v>0</v>
      </c>
      <c r="Q66" s="37">
        <v>0</v>
      </c>
      <c r="R66" s="37">
        <f t="shared" si="1"/>
        <v>1</v>
      </c>
      <c r="S66" s="39">
        <v>27322</v>
      </c>
      <c r="T66" s="40">
        <f t="shared" ref="T66:T79" si="3">R66*S66</f>
        <v>27322</v>
      </c>
    </row>
    <row r="67" spans="1:20" s="37" customFormat="1" x14ac:dyDescent="0.25">
      <c r="A67" s="37" t="s">
        <v>279</v>
      </c>
      <c r="B67" s="37" t="s">
        <v>269</v>
      </c>
      <c r="C67" s="38" t="s">
        <v>255</v>
      </c>
      <c r="D67" s="37">
        <v>1</v>
      </c>
      <c r="E67" s="37">
        <v>0</v>
      </c>
      <c r="F67" s="37">
        <v>0</v>
      </c>
      <c r="G67" s="37">
        <v>0</v>
      </c>
      <c r="H67" s="37">
        <v>0</v>
      </c>
      <c r="I67" s="37">
        <v>0</v>
      </c>
      <c r="J67" s="37">
        <v>0</v>
      </c>
      <c r="K67" s="37">
        <v>0</v>
      </c>
      <c r="L67" s="37">
        <v>0</v>
      </c>
      <c r="M67" s="37">
        <v>0</v>
      </c>
      <c r="N67" s="37">
        <v>0</v>
      </c>
      <c r="O67" s="37">
        <v>0</v>
      </c>
      <c r="P67" s="37">
        <v>0</v>
      </c>
      <c r="Q67" s="37">
        <v>0</v>
      </c>
      <c r="R67" s="37">
        <f t="shared" si="1"/>
        <v>1</v>
      </c>
      <c r="S67" s="39">
        <v>92531</v>
      </c>
      <c r="T67" s="40">
        <f t="shared" si="3"/>
        <v>92531</v>
      </c>
    </row>
    <row r="68" spans="1:20" s="37" customFormat="1" x14ac:dyDescent="0.25">
      <c r="A68" s="37" t="s">
        <v>280</v>
      </c>
      <c r="B68" s="37" t="s">
        <v>261</v>
      </c>
      <c r="C68" s="38" t="s">
        <v>105</v>
      </c>
      <c r="D68" s="37">
        <v>0</v>
      </c>
      <c r="E68" s="37">
        <v>3</v>
      </c>
      <c r="F68" s="37">
        <v>0</v>
      </c>
      <c r="G68" s="37">
        <v>0</v>
      </c>
      <c r="H68" s="37">
        <v>0</v>
      </c>
      <c r="I68" s="37">
        <v>0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  <c r="O68" s="37">
        <v>0</v>
      </c>
      <c r="P68" s="37">
        <v>0</v>
      </c>
      <c r="Q68" s="37">
        <v>0</v>
      </c>
      <c r="R68" s="37">
        <f t="shared" si="1"/>
        <v>3</v>
      </c>
      <c r="S68" s="39">
        <v>4586</v>
      </c>
      <c r="T68" s="40">
        <f t="shared" si="3"/>
        <v>13758</v>
      </c>
    </row>
    <row r="69" spans="1:20" s="37" customFormat="1" x14ac:dyDescent="0.25">
      <c r="A69" s="37" t="s">
        <v>281</v>
      </c>
      <c r="B69" s="37" t="s">
        <v>282</v>
      </c>
      <c r="C69" s="38" t="s">
        <v>255</v>
      </c>
      <c r="S69" s="39"/>
      <c r="T69" s="40">
        <f t="shared" si="3"/>
        <v>0</v>
      </c>
    </row>
    <row r="70" spans="1:20" s="37" customFormat="1" x14ac:dyDescent="0.25">
      <c r="A70" s="37" t="s">
        <v>283</v>
      </c>
      <c r="B70" s="37" t="s">
        <v>284</v>
      </c>
      <c r="C70" s="38" t="s">
        <v>255</v>
      </c>
      <c r="D70" s="37">
        <v>1</v>
      </c>
      <c r="E70" s="37">
        <v>0</v>
      </c>
      <c r="F70" s="37">
        <v>0</v>
      </c>
      <c r="G70" s="37">
        <v>0</v>
      </c>
      <c r="H70" s="37">
        <v>0</v>
      </c>
      <c r="I70" s="37">
        <v>0</v>
      </c>
      <c r="J70" s="37">
        <v>0</v>
      </c>
      <c r="K70" s="37">
        <v>0</v>
      </c>
      <c r="L70" s="37">
        <v>0</v>
      </c>
      <c r="M70" s="37">
        <v>0</v>
      </c>
      <c r="N70" s="37">
        <v>0</v>
      </c>
      <c r="O70" s="37">
        <v>0</v>
      </c>
      <c r="P70" s="37">
        <v>0</v>
      </c>
      <c r="Q70" s="37">
        <v>0</v>
      </c>
      <c r="R70" s="37">
        <f t="shared" ref="R70:R79" si="4">SUM(D70:Q70)</f>
        <v>1</v>
      </c>
      <c r="S70" s="39">
        <v>27322</v>
      </c>
      <c r="T70" s="40">
        <f t="shared" si="3"/>
        <v>27322</v>
      </c>
    </row>
    <row r="71" spans="1:20" s="37" customFormat="1" x14ac:dyDescent="0.25">
      <c r="A71" s="37" t="s">
        <v>285</v>
      </c>
      <c r="B71" s="37" t="s">
        <v>286</v>
      </c>
      <c r="C71" s="38" t="s">
        <v>105</v>
      </c>
      <c r="D71" s="37">
        <v>0</v>
      </c>
      <c r="E71" s="37">
        <v>2</v>
      </c>
      <c r="F71" s="37">
        <v>0</v>
      </c>
      <c r="G71" s="37">
        <v>0</v>
      </c>
      <c r="H71" s="37">
        <v>0</v>
      </c>
      <c r="I71" s="37">
        <v>0</v>
      </c>
      <c r="J71" s="37">
        <v>0</v>
      </c>
      <c r="K71" s="37">
        <v>0</v>
      </c>
      <c r="L71" s="37">
        <v>0</v>
      </c>
      <c r="M71" s="37">
        <v>0</v>
      </c>
      <c r="N71" s="37">
        <v>0</v>
      </c>
      <c r="O71" s="37">
        <v>0</v>
      </c>
      <c r="P71" s="37">
        <v>0</v>
      </c>
      <c r="Q71" s="37">
        <v>0</v>
      </c>
      <c r="R71" s="37">
        <f t="shared" si="4"/>
        <v>2</v>
      </c>
      <c r="S71" s="39">
        <v>5444</v>
      </c>
      <c r="T71" s="40">
        <f t="shared" si="3"/>
        <v>10888</v>
      </c>
    </row>
    <row r="72" spans="1:20" s="37" customFormat="1" x14ac:dyDescent="0.25">
      <c r="A72" s="37" t="s">
        <v>287</v>
      </c>
      <c r="B72" s="37" t="s">
        <v>288</v>
      </c>
      <c r="C72" s="38" t="s">
        <v>105</v>
      </c>
      <c r="D72" s="37">
        <v>0</v>
      </c>
      <c r="E72" s="37">
        <v>1</v>
      </c>
      <c r="F72" s="37">
        <v>0</v>
      </c>
      <c r="G72" s="37">
        <v>1</v>
      </c>
      <c r="H72" s="37">
        <v>0</v>
      </c>
      <c r="I72" s="37">
        <v>0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37">
        <v>0</v>
      </c>
      <c r="P72" s="37">
        <v>0</v>
      </c>
      <c r="Q72" s="37">
        <v>0</v>
      </c>
      <c r="R72" s="37">
        <f t="shared" si="4"/>
        <v>2</v>
      </c>
      <c r="S72" s="39">
        <v>5444</v>
      </c>
      <c r="T72" s="40">
        <f t="shared" si="3"/>
        <v>10888</v>
      </c>
    </row>
    <row r="73" spans="1:20" s="37" customFormat="1" x14ac:dyDescent="0.25">
      <c r="A73" s="37" t="s">
        <v>289</v>
      </c>
      <c r="B73" s="37" t="s">
        <v>290</v>
      </c>
      <c r="C73" s="38" t="s">
        <v>105</v>
      </c>
      <c r="D73" s="37">
        <v>0</v>
      </c>
      <c r="E73" s="37">
        <v>20</v>
      </c>
      <c r="F73" s="37">
        <v>0</v>
      </c>
      <c r="G73" s="37">
        <v>20</v>
      </c>
      <c r="H73" s="37">
        <v>0</v>
      </c>
      <c r="I73" s="37">
        <v>0</v>
      </c>
      <c r="J73" s="37">
        <v>0</v>
      </c>
      <c r="K73" s="37">
        <v>0</v>
      </c>
      <c r="L73" s="37">
        <v>0</v>
      </c>
      <c r="M73" s="37">
        <v>0</v>
      </c>
      <c r="N73" s="37">
        <v>0</v>
      </c>
      <c r="O73" s="37">
        <v>0</v>
      </c>
      <c r="P73" s="37">
        <v>0</v>
      </c>
      <c r="Q73" s="37">
        <v>0</v>
      </c>
      <c r="R73" s="37">
        <f t="shared" si="4"/>
        <v>40</v>
      </c>
      <c r="S73" s="39">
        <v>858</v>
      </c>
      <c r="T73" s="40">
        <f t="shared" si="3"/>
        <v>34320</v>
      </c>
    </row>
    <row r="74" spans="1:20" s="37" customFormat="1" x14ac:dyDescent="0.25">
      <c r="A74" s="37" t="s">
        <v>291</v>
      </c>
      <c r="B74" s="37" t="s">
        <v>292</v>
      </c>
      <c r="C74" s="38" t="s">
        <v>255</v>
      </c>
      <c r="S74" s="39"/>
      <c r="T74" s="40">
        <f t="shared" si="3"/>
        <v>0</v>
      </c>
    </row>
    <row r="75" spans="1:20" s="37" customFormat="1" x14ac:dyDescent="0.25">
      <c r="A75" s="37" t="s">
        <v>293</v>
      </c>
      <c r="B75" s="37" t="s">
        <v>267</v>
      </c>
      <c r="C75" s="38" t="s">
        <v>255</v>
      </c>
      <c r="D75" s="37">
        <v>1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f t="shared" si="4"/>
        <v>1</v>
      </c>
      <c r="S75" s="39">
        <v>27322</v>
      </c>
      <c r="T75" s="40">
        <f t="shared" si="3"/>
        <v>27322</v>
      </c>
    </row>
    <row r="76" spans="1:20" s="37" customFormat="1" x14ac:dyDescent="0.25">
      <c r="A76" s="37" t="s">
        <v>294</v>
      </c>
      <c r="B76" s="37" t="s">
        <v>269</v>
      </c>
      <c r="C76" s="38" t="s">
        <v>255</v>
      </c>
      <c r="D76" s="37">
        <v>1</v>
      </c>
      <c r="E76" s="37">
        <v>0</v>
      </c>
      <c r="F76" s="37">
        <v>0</v>
      </c>
      <c r="G76" s="37">
        <v>0</v>
      </c>
      <c r="H76" s="37">
        <v>0</v>
      </c>
      <c r="I76" s="37">
        <v>0</v>
      </c>
      <c r="J76" s="37">
        <v>0</v>
      </c>
      <c r="K76" s="37">
        <v>0</v>
      </c>
      <c r="L76" s="37">
        <v>0</v>
      </c>
      <c r="M76" s="37">
        <v>0</v>
      </c>
      <c r="N76" s="37">
        <v>0</v>
      </c>
      <c r="O76" s="37">
        <v>0</v>
      </c>
      <c r="P76" s="37">
        <v>0</v>
      </c>
      <c r="Q76" s="37">
        <v>0</v>
      </c>
      <c r="R76" s="37">
        <f t="shared" si="4"/>
        <v>1</v>
      </c>
      <c r="S76" s="39">
        <v>102185</v>
      </c>
      <c r="T76" s="40">
        <f t="shared" si="3"/>
        <v>102185</v>
      </c>
    </row>
    <row r="77" spans="1:20" s="37" customFormat="1" x14ac:dyDescent="0.25">
      <c r="A77" s="37" t="s">
        <v>295</v>
      </c>
      <c r="B77" s="37" t="s">
        <v>296</v>
      </c>
      <c r="C77" s="38" t="s">
        <v>255</v>
      </c>
      <c r="D77" s="37">
        <v>1</v>
      </c>
      <c r="E77" s="37">
        <v>0</v>
      </c>
      <c r="F77" s="37">
        <v>0</v>
      </c>
      <c r="G77" s="37">
        <v>0</v>
      </c>
      <c r="H77" s="37">
        <v>0</v>
      </c>
      <c r="I77" s="37">
        <v>0</v>
      </c>
      <c r="J77" s="37">
        <v>0</v>
      </c>
      <c r="K77" s="37">
        <v>0</v>
      </c>
      <c r="L77" s="37">
        <v>0</v>
      </c>
      <c r="M77" s="37">
        <v>0</v>
      </c>
      <c r="N77" s="37">
        <v>0</v>
      </c>
      <c r="O77" s="37">
        <v>0</v>
      </c>
      <c r="P77" s="37">
        <v>0</v>
      </c>
      <c r="Q77" s="37">
        <v>0</v>
      </c>
      <c r="R77" s="37">
        <f t="shared" si="4"/>
        <v>1</v>
      </c>
      <c r="S77" s="39">
        <v>63808</v>
      </c>
      <c r="T77" s="40">
        <f t="shared" si="3"/>
        <v>63808</v>
      </c>
    </row>
    <row r="78" spans="1:20" s="37" customFormat="1" x14ac:dyDescent="0.25">
      <c r="A78" s="37" t="s">
        <v>297</v>
      </c>
      <c r="B78" s="37" t="s">
        <v>298</v>
      </c>
      <c r="C78" s="38" t="s">
        <v>255</v>
      </c>
      <c r="D78" s="37">
        <v>1</v>
      </c>
      <c r="E78" s="37">
        <v>0</v>
      </c>
      <c r="F78" s="37">
        <v>0</v>
      </c>
      <c r="G78" s="37">
        <v>0</v>
      </c>
      <c r="H78" s="37">
        <v>0</v>
      </c>
      <c r="I78" s="37">
        <v>0</v>
      </c>
      <c r="J78" s="37">
        <v>0</v>
      </c>
      <c r="K78" s="37">
        <v>0</v>
      </c>
      <c r="L78" s="37">
        <v>0</v>
      </c>
      <c r="M78" s="37">
        <v>0</v>
      </c>
      <c r="N78" s="37">
        <v>0</v>
      </c>
      <c r="O78" s="37">
        <v>0</v>
      </c>
      <c r="P78" s="37">
        <v>0</v>
      </c>
      <c r="Q78" s="37">
        <v>0</v>
      </c>
      <c r="R78" s="37">
        <f t="shared" si="4"/>
        <v>1</v>
      </c>
      <c r="S78" s="39">
        <v>20703</v>
      </c>
      <c r="T78" s="40">
        <f t="shared" si="3"/>
        <v>20703</v>
      </c>
    </row>
    <row r="79" spans="1:20" s="37" customFormat="1" x14ac:dyDescent="0.25">
      <c r="A79" s="37" t="s">
        <v>299</v>
      </c>
      <c r="B79" s="37" t="s">
        <v>300</v>
      </c>
      <c r="C79" s="38" t="s">
        <v>105</v>
      </c>
      <c r="D79" s="37">
        <v>0</v>
      </c>
      <c r="E79" s="37">
        <v>0</v>
      </c>
      <c r="F79" s="37">
        <v>0</v>
      </c>
      <c r="G79" s="37">
        <v>0</v>
      </c>
      <c r="H79" s="37">
        <v>0</v>
      </c>
      <c r="I79" s="37">
        <v>63</v>
      </c>
      <c r="J79" s="37">
        <v>0</v>
      </c>
      <c r="K79" s="37">
        <v>0</v>
      </c>
      <c r="L79" s="37">
        <v>0</v>
      </c>
      <c r="M79" s="37">
        <v>0</v>
      </c>
      <c r="N79" s="37">
        <v>0</v>
      </c>
      <c r="O79" s="37">
        <v>0</v>
      </c>
      <c r="P79" s="37">
        <v>0</v>
      </c>
      <c r="Q79" s="37">
        <v>0</v>
      </c>
      <c r="R79" s="37">
        <f t="shared" si="4"/>
        <v>63</v>
      </c>
      <c r="S79" s="39">
        <v>23</v>
      </c>
      <c r="T79" s="40">
        <f t="shared" si="3"/>
        <v>1449</v>
      </c>
    </row>
    <row r="81" spans="1:20" s="41" customFormat="1" x14ac:dyDescent="0.25">
      <c r="B81" s="41" t="s">
        <v>129</v>
      </c>
      <c r="S81" s="42"/>
      <c r="T81" s="43">
        <f>SUM(T2:T79)</f>
        <v>35853511</v>
      </c>
    </row>
    <row r="82" spans="1:20" x14ac:dyDescent="0.25">
      <c r="A82" t="s">
        <v>98</v>
      </c>
      <c r="B82" t="s">
        <v>130</v>
      </c>
      <c r="S82" s="44"/>
    </row>
  </sheetData>
  <pageMargins left="0.6" right="0.4" top="0.6" bottom="0.4" header="0.2" footer="0.2"/>
  <pageSetup paperSize="8" scale="44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23"/>
  <sheetViews>
    <sheetView view="pageBreakPreview" zoomScale="85" zoomScaleNormal="70" zoomScaleSheetLayoutView="85" workbookViewId="0">
      <selection activeCell="F13" sqref="F13"/>
    </sheetView>
  </sheetViews>
  <sheetFormatPr defaultRowHeight="15" x14ac:dyDescent="0.25"/>
  <cols>
    <col min="1" max="1" width="12" customWidth="1"/>
    <col min="2" max="2" width="75" customWidth="1"/>
    <col min="3" max="20" width="20" customWidth="1"/>
  </cols>
  <sheetData>
    <row r="1" spans="1:20" s="28" customFormat="1" ht="90" customHeight="1" x14ac:dyDescent="0.25">
      <c r="A1" s="29" t="s">
        <v>79</v>
      </c>
      <c r="B1" s="28" t="s">
        <v>39</v>
      </c>
      <c r="C1" s="30" t="s">
        <v>80</v>
      </c>
      <c r="D1" s="30" t="s">
        <v>81</v>
      </c>
      <c r="E1" s="30" t="s">
        <v>82</v>
      </c>
      <c r="F1" s="30" t="s">
        <v>83</v>
      </c>
      <c r="G1" s="30" t="s">
        <v>84</v>
      </c>
      <c r="H1" s="30" t="s">
        <v>85</v>
      </c>
      <c r="I1" s="30" t="s">
        <v>86</v>
      </c>
      <c r="J1" s="30" t="s">
        <v>87</v>
      </c>
      <c r="K1" s="30" t="s">
        <v>88</v>
      </c>
      <c r="L1" s="30" t="s">
        <v>89</v>
      </c>
      <c r="M1" s="30" t="s">
        <v>90</v>
      </c>
      <c r="N1" s="30" t="s">
        <v>91</v>
      </c>
      <c r="O1" s="30" t="s">
        <v>92</v>
      </c>
      <c r="P1" s="30" t="s">
        <v>93</v>
      </c>
      <c r="Q1" s="30" t="s">
        <v>94</v>
      </c>
      <c r="R1" s="30" t="s">
        <v>95</v>
      </c>
      <c r="S1" s="31" t="s">
        <v>96</v>
      </c>
      <c r="T1" s="30" t="s">
        <v>97</v>
      </c>
    </row>
    <row r="2" spans="1:20" s="32" customFormat="1" ht="15.75" x14ac:dyDescent="0.25">
      <c r="A2" s="32" t="s">
        <v>38</v>
      </c>
      <c r="B2" s="32" t="s">
        <v>39</v>
      </c>
      <c r="C2" s="33" t="s">
        <v>98</v>
      </c>
      <c r="S2" s="34"/>
      <c r="T2" s="35">
        <f t="shared" ref="T2:T20" si="0">R2*S2</f>
        <v>0</v>
      </c>
    </row>
    <row r="3" spans="1:20" s="36" customFormat="1" x14ac:dyDescent="0.25">
      <c r="A3" s="28"/>
      <c r="B3" s="28" t="s">
        <v>302</v>
      </c>
      <c r="C3" s="50" t="s">
        <v>98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51"/>
      <c r="T3" s="52">
        <f t="shared" si="0"/>
        <v>0</v>
      </c>
    </row>
    <row r="4" spans="1:20" s="37" customFormat="1" x14ac:dyDescent="0.25">
      <c r="A4" s="37" t="s">
        <v>303</v>
      </c>
      <c r="B4" s="37" t="s">
        <v>304</v>
      </c>
      <c r="C4" s="38" t="s">
        <v>105</v>
      </c>
      <c r="D4" s="37">
        <v>0</v>
      </c>
      <c r="E4" s="37">
        <v>435</v>
      </c>
      <c r="F4" s="37">
        <v>0</v>
      </c>
      <c r="G4" s="37">
        <v>20</v>
      </c>
      <c r="H4" s="37">
        <v>0</v>
      </c>
      <c r="I4" s="37">
        <v>35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>
        <v>0</v>
      </c>
      <c r="R4" s="37">
        <f>SUM(D4:Q4)</f>
        <v>490</v>
      </c>
      <c r="S4" s="39">
        <v>256</v>
      </c>
      <c r="T4" s="40">
        <f t="shared" si="0"/>
        <v>125440</v>
      </c>
    </row>
    <row r="5" spans="1:20" s="37" customFormat="1" x14ac:dyDescent="0.25">
      <c r="A5" s="37" t="s">
        <v>305</v>
      </c>
      <c r="B5" s="37" t="s">
        <v>306</v>
      </c>
      <c r="C5" s="38" t="s">
        <v>98</v>
      </c>
      <c r="S5" s="39"/>
      <c r="T5" s="40">
        <f t="shared" si="0"/>
        <v>0</v>
      </c>
    </row>
    <row r="6" spans="1:20" s="37" customFormat="1" x14ac:dyDescent="0.25">
      <c r="A6" s="37" t="s">
        <v>307</v>
      </c>
      <c r="B6" s="37" t="s">
        <v>308</v>
      </c>
      <c r="C6" s="38" t="s">
        <v>105</v>
      </c>
      <c r="D6" s="37">
        <v>0</v>
      </c>
      <c r="E6" s="37">
        <v>480</v>
      </c>
      <c r="F6" s="37">
        <v>0</v>
      </c>
      <c r="G6" s="37">
        <v>9140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f t="shared" ref="R6:R20" si="1">SUM(D6:Q6)</f>
        <v>9620</v>
      </c>
      <c r="S6" s="39">
        <v>118</v>
      </c>
      <c r="T6" s="40">
        <f t="shared" si="0"/>
        <v>1135160</v>
      </c>
    </row>
    <row r="7" spans="1:20" s="37" customFormat="1" x14ac:dyDescent="0.25">
      <c r="A7" s="37" t="s">
        <v>309</v>
      </c>
      <c r="B7" s="37" t="s">
        <v>310</v>
      </c>
      <c r="C7" s="38" t="s">
        <v>105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435</v>
      </c>
      <c r="N7" s="37">
        <v>0</v>
      </c>
      <c r="O7" s="37">
        <v>0</v>
      </c>
      <c r="P7" s="37">
        <v>0</v>
      </c>
      <c r="Q7" s="37">
        <v>55</v>
      </c>
      <c r="R7" s="37">
        <f t="shared" si="1"/>
        <v>490</v>
      </c>
      <c r="S7" s="39">
        <v>1484</v>
      </c>
      <c r="T7" s="40">
        <f t="shared" si="0"/>
        <v>727160</v>
      </c>
    </row>
    <row r="8" spans="1:20" s="37" customFormat="1" x14ac:dyDescent="0.25">
      <c r="A8" s="37" t="s">
        <v>311</v>
      </c>
      <c r="B8" s="37" t="s">
        <v>312</v>
      </c>
      <c r="C8" s="38" t="s">
        <v>98</v>
      </c>
      <c r="S8" s="39"/>
      <c r="T8" s="40">
        <f t="shared" si="0"/>
        <v>0</v>
      </c>
    </row>
    <row r="9" spans="1:20" s="37" customFormat="1" x14ac:dyDescent="0.25">
      <c r="A9" s="37" t="s">
        <v>313</v>
      </c>
      <c r="B9" s="37" t="s">
        <v>308</v>
      </c>
      <c r="C9" s="38" t="s">
        <v>105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82</v>
      </c>
      <c r="N9" s="37">
        <v>0</v>
      </c>
      <c r="O9" s="37">
        <v>0</v>
      </c>
      <c r="P9" s="37">
        <v>0</v>
      </c>
      <c r="Q9" s="37">
        <v>1960</v>
      </c>
      <c r="R9" s="37">
        <f t="shared" si="1"/>
        <v>2042</v>
      </c>
      <c r="S9" s="39">
        <v>106</v>
      </c>
      <c r="T9" s="40">
        <f t="shared" si="0"/>
        <v>216452</v>
      </c>
    </row>
    <row r="10" spans="1:20" s="36" customFormat="1" x14ac:dyDescent="0.25">
      <c r="A10" s="28" t="s">
        <v>314</v>
      </c>
      <c r="B10" s="28" t="s">
        <v>315</v>
      </c>
      <c r="C10" s="50" t="s">
        <v>98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37"/>
      <c r="S10" s="51"/>
      <c r="T10" s="52">
        <f t="shared" si="0"/>
        <v>0</v>
      </c>
    </row>
    <row r="11" spans="1:20" s="37" customFormat="1" x14ac:dyDescent="0.25">
      <c r="A11" s="37" t="s">
        <v>316</v>
      </c>
      <c r="B11" s="37" t="s">
        <v>317</v>
      </c>
      <c r="C11" s="38" t="s">
        <v>98</v>
      </c>
      <c r="S11" s="39"/>
      <c r="T11" s="40">
        <f t="shared" si="0"/>
        <v>0</v>
      </c>
    </row>
    <row r="12" spans="1:20" s="37" customFormat="1" x14ac:dyDescent="0.25">
      <c r="A12" s="37" t="s">
        <v>318</v>
      </c>
      <c r="B12" s="37" t="s">
        <v>319</v>
      </c>
      <c r="C12" s="38" t="s">
        <v>105</v>
      </c>
      <c r="D12" s="37">
        <v>0</v>
      </c>
      <c r="E12" s="37">
        <v>480</v>
      </c>
      <c r="F12" s="37">
        <v>0</v>
      </c>
      <c r="G12" s="37">
        <v>9140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f t="shared" si="1"/>
        <v>9620</v>
      </c>
      <c r="S12" s="39">
        <v>44</v>
      </c>
      <c r="T12" s="40">
        <f t="shared" si="0"/>
        <v>423280</v>
      </c>
    </row>
    <row r="13" spans="1:20" s="36" customFormat="1" x14ac:dyDescent="0.25">
      <c r="A13" s="28" t="s">
        <v>320</v>
      </c>
      <c r="B13" s="28" t="s">
        <v>321</v>
      </c>
      <c r="C13" s="50" t="s">
        <v>98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37"/>
      <c r="S13" s="51"/>
      <c r="T13" s="52">
        <f t="shared" si="0"/>
        <v>0</v>
      </c>
    </row>
    <row r="14" spans="1:20" s="37" customFormat="1" x14ac:dyDescent="0.25">
      <c r="A14" s="37" t="s">
        <v>322</v>
      </c>
      <c r="B14" s="37" t="s">
        <v>323</v>
      </c>
      <c r="C14" s="38" t="s">
        <v>98</v>
      </c>
      <c r="S14" s="39"/>
      <c r="T14" s="40">
        <f t="shared" si="0"/>
        <v>0</v>
      </c>
    </row>
    <row r="15" spans="1:20" s="37" customFormat="1" x14ac:dyDescent="0.25">
      <c r="A15" s="37" t="s">
        <v>324</v>
      </c>
      <c r="B15" s="37" t="s">
        <v>325</v>
      </c>
      <c r="C15" s="38" t="s">
        <v>105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82</v>
      </c>
      <c r="N15" s="37">
        <v>0</v>
      </c>
      <c r="O15" s="37">
        <v>0</v>
      </c>
      <c r="P15" s="37">
        <v>0</v>
      </c>
      <c r="Q15" s="37">
        <v>1960</v>
      </c>
      <c r="R15" s="37">
        <f t="shared" si="1"/>
        <v>2042</v>
      </c>
      <c r="S15" s="39">
        <v>5</v>
      </c>
      <c r="T15" s="40">
        <f t="shared" si="0"/>
        <v>10210</v>
      </c>
    </row>
    <row r="16" spans="1:20" s="37" customFormat="1" x14ac:dyDescent="0.25">
      <c r="A16" s="37" t="s">
        <v>326</v>
      </c>
      <c r="B16" s="37" t="s">
        <v>327</v>
      </c>
      <c r="C16" s="38" t="s">
        <v>105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4</v>
      </c>
      <c r="R16" s="37">
        <f t="shared" si="1"/>
        <v>4</v>
      </c>
      <c r="S16" s="39">
        <v>559</v>
      </c>
      <c r="T16" s="40">
        <f t="shared" si="0"/>
        <v>2236</v>
      </c>
    </row>
    <row r="17" spans="1:20" s="37" customFormat="1" x14ac:dyDescent="0.25">
      <c r="A17" s="37" t="s">
        <v>328</v>
      </c>
      <c r="B17" s="37" t="s">
        <v>329</v>
      </c>
      <c r="C17" s="38" t="s">
        <v>98</v>
      </c>
      <c r="S17" s="39"/>
      <c r="T17" s="40">
        <f t="shared" si="0"/>
        <v>0</v>
      </c>
    </row>
    <row r="18" spans="1:20" s="37" customFormat="1" x14ac:dyDescent="0.25">
      <c r="A18" s="37" t="s">
        <v>330</v>
      </c>
      <c r="B18" s="37" t="s">
        <v>325</v>
      </c>
      <c r="C18" s="38" t="s">
        <v>105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82</v>
      </c>
      <c r="N18" s="37">
        <v>0</v>
      </c>
      <c r="O18" s="37">
        <v>0</v>
      </c>
      <c r="P18" s="37">
        <v>0</v>
      </c>
      <c r="Q18" s="37">
        <v>1960</v>
      </c>
      <c r="R18" s="37">
        <f t="shared" si="1"/>
        <v>2042</v>
      </c>
      <c r="S18" s="39">
        <v>230</v>
      </c>
      <c r="T18" s="40">
        <f t="shared" si="0"/>
        <v>469660</v>
      </c>
    </row>
    <row r="19" spans="1:20" s="36" customFormat="1" x14ac:dyDescent="0.25">
      <c r="A19" s="28" t="s">
        <v>331</v>
      </c>
      <c r="B19" s="28" t="s">
        <v>332</v>
      </c>
      <c r="C19" s="50" t="s">
        <v>98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37"/>
      <c r="S19" s="51"/>
      <c r="T19" s="52">
        <f t="shared" si="0"/>
        <v>0</v>
      </c>
    </row>
    <row r="20" spans="1:20" s="37" customFormat="1" x14ac:dyDescent="0.25">
      <c r="A20" s="37" t="s">
        <v>333</v>
      </c>
      <c r="B20" s="37" t="s">
        <v>334</v>
      </c>
      <c r="C20" s="38" t="s">
        <v>105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398</v>
      </c>
      <c r="N20" s="37">
        <v>0</v>
      </c>
      <c r="O20" s="37">
        <v>0</v>
      </c>
      <c r="P20" s="37">
        <v>0</v>
      </c>
      <c r="Q20" s="37">
        <v>7430</v>
      </c>
      <c r="R20" s="37">
        <f t="shared" si="1"/>
        <v>7828</v>
      </c>
      <c r="S20" s="39">
        <v>363</v>
      </c>
      <c r="T20" s="40">
        <f t="shared" si="0"/>
        <v>2841564</v>
      </c>
    </row>
    <row r="22" spans="1:20" s="41" customFormat="1" x14ac:dyDescent="0.25">
      <c r="B22" s="41" t="s">
        <v>129</v>
      </c>
      <c r="S22" s="42"/>
      <c r="T22" s="43">
        <f>SUM(T2:T20)</f>
        <v>5951162</v>
      </c>
    </row>
    <row r="23" spans="1:20" x14ac:dyDescent="0.25">
      <c r="A23" t="s">
        <v>98</v>
      </c>
      <c r="B23" t="s">
        <v>130</v>
      </c>
      <c r="S23" s="44"/>
    </row>
  </sheetData>
  <pageMargins left="0.6" right="0.4" top="0.6" bottom="0.4" header="0.2" footer="0.2"/>
  <pageSetup paperSize="8" scale="44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15"/>
  <sheetViews>
    <sheetView view="pageBreakPreview" zoomScale="115" zoomScaleNormal="70" zoomScaleSheetLayoutView="115" workbookViewId="0">
      <selection activeCell="E3" sqref="E3"/>
    </sheetView>
  </sheetViews>
  <sheetFormatPr defaultRowHeight="15" x14ac:dyDescent="0.25"/>
  <cols>
    <col min="1" max="1" width="12" customWidth="1"/>
    <col min="2" max="2" width="75" customWidth="1"/>
    <col min="3" max="20" width="20" customWidth="1"/>
  </cols>
  <sheetData>
    <row r="1" spans="1:20" s="28" customFormat="1" ht="90" customHeight="1" x14ac:dyDescent="0.25">
      <c r="A1" s="29" t="s">
        <v>79</v>
      </c>
      <c r="B1" s="28" t="s">
        <v>41</v>
      </c>
      <c r="C1" s="30" t="s">
        <v>80</v>
      </c>
      <c r="D1" s="30" t="s">
        <v>81</v>
      </c>
      <c r="E1" s="30" t="s">
        <v>82</v>
      </c>
      <c r="F1" s="30" t="s">
        <v>83</v>
      </c>
      <c r="G1" s="30" t="s">
        <v>84</v>
      </c>
      <c r="H1" s="30" t="s">
        <v>85</v>
      </c>
      <c r="I1" s="30" t="s">
        <v>86</v>
      </c>
      <c r="J1" s="30" t="s">
        <v>87</v>
      </c>
      <c r="K1" s="30" t="s">
        <v>88</v>
      </c>
      <c r="L1" s="30" t="s">
        <v>89</v>
      </c>
      <c r="M1" s="30" t="s">
        <v>90</v>
      </c>
      <c r="N1" s="30" t="s">
        <v>91</v>
      </c>
      <c r="O1" s="30" t="s">
        <v>92</v>
      </c>
      <c r="P1" s="30" t="s">
        <v>93</v>
      </c>
      <c r="Q1" s="30" t="s">
        <v>94</v>
      </c>
      <c r="R1" s="30" t="s">
        <v>95</v>
      </c>
      <c r="S1" s="31" t="s">
        <v>96</v>
      </c>
      <c r="T1" s="30" t="s">
        <v>97</v>
      </c>
    </row>
    <row r="2" spans="1:20" s="32" customFormat="1" ht="15.75" x14ac:dyDescent="0.25">
      <c r="A2" s="32" t="s">
        <v>40</v>
      </c>
      <c r="B2" s="32" t="s">
        <v>41</v>
      </c>
      <c r="C2" s="33" t="s">
        <v>98</v>
      </c>
      <c r="S2" s="34"/>
      <c r="T2" s="35">
        <f t="shared" ref="T2:T12" si="0">R2*S2</f>
        <v>0</v>
      </c>
    </row>
    <row r="3" spans="1:20" s="36" customFormat="1" x14ac:dyDescent="0.25">
      <c r="A3" s="28" t="s">
        <v>335</v>
      </c>
      <c r="B3" s="28" t="s">
        <v>336</v>
      </c>
      <c r="C3" s="50" t="s">
        <v>98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51"/>
      <c r="T3" s="52">
        <f t="shared" si="0"/>
        <v>0</v>
      </c>
    </row>
    <row r="4" spans="1:20" s="37" customFormat="1" x14ac:dyDescent="0.25">
      <c r="A4" s="37" t="s">
        <v>337</v>
      </c>
      <c r="B4" s="37" t="s">
        <v>338</v>
      </c>
      <c r="C4" s="38" t="s">
        <v>255</v>
      </c>
      <c r="D4" s="37">
        <v>0</v>
      </c>
      <c r="E4" s="37">
        <v>1</v>
      </c>
      <c r="F4" s="37">
        <v>0</v>
      </c>
      <c r="G4" s="37">
        <v>0</v>
      </c>
      <c r="H4" s="37">
        <v>0</v>
      </c>
      <c r="I4" s="37">
        <v>0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>
        <v>0</v>
      </c>
      <c r="R4" s="37">
        <f>SUM(D4:Q4)</f>
        <v>1</v>
      </c>
      <c r="S4" s="39">
        <v>42225</v>
      </c>
      <c r="T4" s="40">
        <f t="shared" si="0"/>
        <v>42225</v>
      </c>
    </row>
    <row r="5" spans="1:20" s="37" customFormat="1" x14ac:dyDescent="0.25">
      <c r="A5" s="37" t="s">
        <v>339</v>
      </c>
      <c r="B5" s="37" t="s">
        <v>340</v>
      </c>
      <c r="C5" s="38" t="s">
        <v>152</v>
      </c>
      <c r="D5" s="37">
        <v>0</v>
      </c>
      <c r="E5" s="37">
        <v>701</v>
      </c>
      <c r="F5" s="37">
        <v>0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f t="shared" ref="R5:R12" si="1">SUM(D5:Q5)</f>
        <v>701</v>
      </c>
      <c r="S5" s="39">
        <v>889</v>
      </c>
      <c r="T5" s="40">
        <f t="shared" si="0"/>
        <v>623189</v>
      </c>
    </row>
    <row r="6" spans="1:20" s="37" customFormat="1" x14ac:dyDescent="0.25">
      <c r="A6" s="37" t="s">
        <v>341</v>
      </c>
      <c r="B6" s="37" t="s">
        <v>342</v>
      </c>
      <c r="C6" s="38" t="s">
        <v>105</v>
      </c>
      <c r="D6" s="37">
        <v>0</v>
      </c>
      <c r="E6" s="37">
        <v>258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f t="shared" si="1"/>
        <v>258</v>
      </c>
      <c r="S6" s="39">
        <v>221</v>
      </c>
      <c r="T6" s="40">
        <f t="shared" si="0"/>
        <v>57018</v>
      </c>
    </row>
    <row r="7" spans="1:20" s="37" customFormat="1" x14ac:dyDescent="0.25">
      <c r="A7" s="37" t="s">
        <v>343</v>
      </c>
      <c r="B7" s="37" t="s">
        <v>344</v>
      </c>
      <c r="C7" s="38" t="s">
        <v>120</v>
      </c>
      <c r="D7" s="37">
        <v>4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f t="shared" si="1"/>
        <v>4</v>
      </c>
      <c r="S7" s="39">
        <v>1190</v>
      </c>
      <c r="T7" s="40">
        <f t="shared" si="0"/>
        <v>4760</v>
      </c>
    </row>
    <row r="8" spans="1:20" s="36" customFormat="1" x14ac:dyDescent="0.25">
      <c r="A8" s="28" t="s">
        <v>345</v>
      </c>
      <c r="B8" s="28" t="s">
        <v>346</v>
      </c>
      <c r="C8" s="50" t="s">
        <v>98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37"/>
      <c r="S8" s="51"/>
      <c r="T8" s="52">
        <f t="shared" si="0"/>
        <v>0</v>
      </c>
    </row>
    <row r="9" spans="1:20" s="37" customFormat="1" x14ac:dyDescent="0.25">
      <c r="A9" s="37" t="s">
        <v>347</v>
      </c>
      <c r="B9" s="37" t="s">
        <v>348</v>
      </c>
      <c r="C9" s="38" t="s">
        <v>105</v>
      </c>
      <c r="D9" s="37">
        <v>0</v>
      </c>
      <c r="E9" s="37">
        <v>252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f t="shared" si="1"/>
        <v>252</v>
      </c>
      <c r="S9" s="39">
        <v>2055</v>
      </c>
      <c r="T9" s="40">
        <f t="shared" si="0"/>
        <v>517860</v>
      </c>
    </row>
    <row r="10" spans="1:20" s="36" customFormat="1" x14ac:dyDescent="0.25">
      <c r="A10" s="28" t="s">
        <v>349</v>
      </c>
      <c r="B10" s="28" t="s">
        <v>350</v>
      </c>
      <c r="C10" s="50" t="s">
        <v>98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37"/>
      <c r="S10" s="51"/>
      <c r="T10" s="52">
        <f t="shared" si="0"/>
        <v>0</v>
      </c>
    </row>
    <row r="11" spans="1:20" s="37" customFormat="1" x14ac:dyDescent="0.25">
      <c r="A11" s="37" t="s">
        <v>351</v>
      </c>
      <c r="B11" s="37" t="s">
        <v>352</v>
      </c>
      <c r="C11" s="38" t="s">
        <v>105</v>
      </c>
      <c r="D11" s="37">
        <v>0</v>
      </c>
      <c r="E11" s="37">
        <v>252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f t="shared" si="1"/>
        <v>252</v>
      </c>
      <c r="S11" s="39">
        <v>383</v>
      </c>
      <c r="T11" s="40">
        <f t="shared" si="0"/>
        <v>96516</v>
      </c>
    </row>
    <row r="12" spans="1:20" s="37" customFormat="1" x14ac:dyDescent="0.25">
      <c r="A12" s="37" t="s">
        <v>353</v>
      </c>
      <c r="B12" s="37" t="s">
        <v>354</v>
      </c>
      <c r="C12" s="38" t="s">
        <v>120</v>
      </c>
      <c r="D12" s="37">
        <v>0</v>
      </c>
      <c r="E12" s="37">
        <v>10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f t="shared" si="1"/>
        <v>10</v>
      </c>
      <c r="S12" s="39">
        <v>8261</v>
      </c>
      <c r="T12" s="40">
        <f t="shared" si="0"/>
        <v>82610</v>
      </c>
    </row>
    <row r="14" spans="1:20" s="41" customFormat="1" x14ac:dyDescent="0.25">
      <c r="B14" s="41" t="s">
        <v>129</v>
      </c>
      <c r="S14" s="42"/>
      <c r="T14" s="43">
        <f>SUM(T2:T12)</f>
        <v>1424178</v>
      </c>
    </row>
    <row r="15" spans="1:20" x14ac:dyDescent="0.25">
      <c r="A15" t="s">
        <v>98</v>
      </c>
      <c r="B15" t="s">
        <v>130</v>
      </c>
      <c r="S15" s="44"/>
    </row>
  </sheetData>
  <pageMargins left="0.6" right="0.4" top="0.6" bottom="0.4" header="0.2" footer="0.2"/>
  <pageSetup paperSize="8" scale="44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59"/>
  <sheetViews>
    <sheetView view="pageBreakPreview" zoomScale="55" zoomScaleNormal="80" zoomScaleSheetLayoutView="55" workbookViewId="0">
      <selection activeCell="J10" sqref="J10"/>
    </sheetView>
  </sheetViews>
  <sheetFormatPr defaultRowHeight="15" x14ac:dyDescent="0.25"/>
  <cols>
    <col min="1" max="1" width="12" customWidth="1"/>
    <col min="2" max="2" width="75" customWidth="1"/>
    <col min="3" max="20" width="20" customWidth="1"/>
  </cols>
  <sheetData>
    <row r="1" spans="1:20" s="28" customFormat="1" ht="90" customHeight="1" x14ac:dyDescent="0.25">
      <c r="A1" s="29" t="s">
        <v>79</v>
      </c>
      <c r="B1" s="28" t="s">
        <v>43</v>
      </c>
      <c r="C1" s="30" t="s">
        <v>80</v>
      </c>
      <c r="D1" s="30" t="s">
        <v>81</v>
      </c>
      <c r="E1" s="30" t="s">
        <v>82</v>
      </c>
      <c r="F1" s="30" t="s">
        <v>83</v>
      </c>
      <c r="G1" s="30" t="s">
        <v>84</v>
      </c>
      <c r="H1" s="30" t="s">
        <v>85</v>
      </c>
      <c r="I1" s="30" t="s">
        <v>86</v>
      </c>
      <c r="J1" s="30" t="s">
        <v>87</v>
      </c>
      <c r="K1" s="30" t="s">
        <v>88</v>
      </c>
      <c r="L1" s="30" t="s">
        <v>89</v>
      </c>
      <c r="M1" s="30" t="s">
        <v>90</v>
      </c>
      <c r="N1" s="30" t="s">
        <v>91</v>
      </c>
      <c r="O1" s="30" t="s">
        <v>92</v>
      </c>
      <c r="P1" s="30" t="s">
        <v>93</v>
      </c>
      <c r="Q1" s="30" t="s">
        <v>94</v>
      </c>
      <c r="R1" s="30" t="s">
        <v>95</v>
      </c>
      <c r="S1" s="31" t="s">
        <v>96</v>
      </c>
      <c r="T1" s="30" t="s">
        <v>97</v>
      </c>
    </row>
    <row r="2" spans="1:20" s="32" customFormat="1" ht="15.75" x14ac:dyDescent="0.25">
      <c r="A2" s="32" t="s">
        <v>42</v>
      </c>
      <c r="B2" s="32" t="s">
        <v>43</v>
      </c>
      <c r="C2" s="33" t="s">
        <v>98</v>
      </c>
      <c r="S2" s="34"/>
      <c r="T2" s="35">
        <f t="shared" ref="T2:T33" si="0">R2*S2</f>
        <v>0</v>
      </c>
    </row>
    <row r="3" spans="1:20" s="36" customFormat="1" x14ac:dyDescent="0.25">
      <c r="A3" s="28" t="s">
        <v>355</v>
      </c>
      <c r="B3" s="28" t="s">
        <v>356</v>
      </c>
      <c r="C3" s="50" t="s">
        <v>98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51"/>
      <c r="T3" s="52">
        <f t="shared" si="0"/>
        <v>0</v>
      </c>
    </row>
    <row r="4" spans="1:20" s="37" customFormat="1" x14ac:dyDescent="0.25">
      <c r="A4" s="37" t="s">
        <v>357</v>
      </c>
      <c r="B4" s="37" t="s">
        <v>358</v>
      </c>
      <c r="C4" s="38" t="s">
        <v>120</v>
      </c>
      <c r="D4" s="37">
        <v>8</v>
      </c>
      <c r="E4" s="37">
        <v>0</v>
      </c>
      <c r="F4" s="37">
        <v>0</v>
      </c>
      <c r="G4" s="37">
        <v>0</v>
      </c>
      <c r="H4" s="37">
        <v>0</v>
      </c>
      <c r="I4" s="37">
        <v>2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>
        <v>0</v>
      </c>
      <c r="R4" s="37">
        <f>SUM(D4:Q4)</f>
        <v>10</v>
      </c>
      <c r="S4" s="39">
        <v>405</v>
      </c>
      <c r="T4" s="40">
        <f t="shared" si="0"/>
        <v>4050</v>
      </c>
    </row>
    <row r="5" spans="1:20" s="37" customFormat="1" x14ac:dyDescent="0.25">
      <c r="A5" s="37" t="s">
        <v>359</v>
      </c>
      <c r="B5" s="37" t="s">
        <v>360</v>
      </c>
      <c r="C5" s="38" t="s">
        <v>98</v>
      </c>
      <c r="S5" s="39"/>
      <c r="T5" s="40">
        <f t="shared" si="0"/>
        <v>0</v>
      </c>
    </row>
    <row r="6" spans="1:20" s="37" customFormat="1" x14ac:dyDescent="0.25">
      <c r="A6" s="37" t="s">
        <v>361</v>
      </c>
      <c r="B6" s="37" t="s">
        <v>362</v>
      </c>
      <c r="C6" s="38" t="s">
        <v>120</v>
      </c>
      <c r="D6" s="37">
        <v>8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f t="shared" ref="R6:R56" si="1">SUM(D6:Q6)</f>
        <v>8</v>
      </c>
      <c r="S6" s="39">
        <v>5158</v>
      </c>
      <c r="T6" s="40">
        <f t="shared" si="0"/>
        <v>41264</v>
      </c>
    </row>
    <row r="7" spans="1:20" s="37" customFormat="1" x14ac:dyDescent="0.25">
      <c r="A7" s="37" t="s">
        <v>363</v>
      </c>
      <c r="B7" s="37" t="s">
        <v>364</v>
      </c>
      <c r="C7" s="38" t="s">
        <v>120</v>
      </c>
      <c r="D7" s="37">
        <v>8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f t="shared" si="1"/>
        <v>8</v>
      </c>
      <c r="S7" s="39">
        <v>2735</v>
      </c>
      <c r="T7" s="40">
        <f t="shared" si="0"/>
        <v>21880</v>
      </c>
    </row>
    <row r="8" spans="1:20" s="37" customFormat="1" x14ac:dyDescent="0.25">
      <c r="A8" s="37" t="s">
        <v>365</v>
      </c>
      <c r="B8" s="37" t="s">
        <v>366</v>
      </c>
      <c r="C8" s="38" t="s">
        <v>98</v>
      </c>
      <c r="S8" s="39"/>
      <c r="T8" s="40">
        <f t="shared" si="0"/>
        <v>0</v>
      </c>
    </row>
    <row r="9" spans="1:20" s="37" customFormat="1" x14ac:dyDescent="0.25">
      <c r="A9" s="37" t="s">
        <v>367</v>
      </c>
      <c r="B9" s="37" t="s">
        <v>368</v>
      </c>
      <c r="C9" s="38" t="s">
        <v>120</v>
      </c>
      <c r="D9" s="37">
        <v>8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f t="shared" si="1"/>
        <v>8</v>
      </c>
      <c r="S9" s="39">
        <v>63732</v>
      </c>
      <c r="T9" s="40">
        <f t="shared" si="0"/>
        <v>509856</v>
      </c>
    </row>
    <row r="10" spans="1:20" s="37" customFormat="1" x14ac:dyDescent="0.25">
      <c r="A10" s="37" t="s">
        <v>369</v>
      </c>
      <c r="B10" s="37" t="s">
        <v>370</v>
      </c>
      <c r="C10" s="38" t="s">
        <v>120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8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f t="shared" si="1"/>
        <v>8</v>
      </c>
      <c r="S10" s="39">
        <v>57060</v>
      </c>
      <c r="T10" s="40">
        <f t="shared" si="0"/>
        <v>456480</v>
      </c>
    </row>
    <row r="11" spans="1:20" s="37" customFormat="1" x14ac:dyDescent="0.25">
      <c r="A11" s="37" t="s">
        <v>371</v>
      </c>
      <c r="B11" s="37" t="s">
        <v>372</v>
      </c>
      <c r="C11" s="38" t="s">
        <v>373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f t="shared" si="1"/>
        <v>0</v>
      </c>
      <c r="S11" s="39">
        <v>0</v>
      </c>
      <c r="T11" s="40">
        <f t="shared" si="0"/>
        <v>0</v>
      </c>
    </row>
    <row r="12" spans="1:20" s="37" customFormat="1" x14ac:dyDescent="0.25">
      <c r="A12" s="37" t="s">
        <v>374</v>
      </c>
      <c r="B12" s="37" t="s">
        <v>375</v>
      </c>
      <c r="C12" s="38" t="s">
        <v>120</v>
      </c>
      <c r="D12" s="37">
        <v>174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f t="shared" si="1"/>
        <v>174</v>
      </c>
      <c r="S12" s="39">
        <v>279</v>
      </c>
      <c r="T12" s="40">
        <f t="shared" si="0"/>
        <v>48546</v>
      </c>
    </row>
    <row r="13" spans="1:20" s="37" customFormat="1" x14ac:dyDescent="0.25">
      <c r="A13" s="37" t="s">
        <v>376</v>
      </c>
      <c r="B13" s="37" t="s">
        <v>377</v>
      </c>
      <c r="C13" s="38" t="s">
        <v>120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100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f t="shared" si="1"/>
        <v>100</v>
      </c>
      <c r="S13" s="39">
        <v>6533</v>
      </c>
      <c r="T13" s="40">
        <f t="shared" si="0"/>
        <v>653300</v>
      </c>
    </row>
    <row r="14" spans="1:20" s="37" customFormat="1" x14ac:dyDescent="0.25">
      <c r="A14" s="37" t="s">
        <v>378</v>
      </c>
      <c r="B14" s="37" t="s">
        <v>379</v>
      </c>
      <c r="C14" s="38" t="s">
        <v>120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50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f t="shared" si="1"/>
        <v>50</v>
      </c>
      <c r="S14" s="39">
        <v>14482</v>
      </c>
      <c r="T14" s="40">
        <f t="shared" si="0"/>
        <v>724100</v>
      </c>
    </row>
    <row r="15" spans="1:20" s="37" customFormat="1" x14ac:dyDescent="0.25">
      <c r="A15" s="37" t="s">
        <v>380</v>
      </c>
      <c r="B15" s="37" t="s">
        <v>381</v>
      </c>
      <c r="C15" s="38" t="s">
        <v>120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10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f t="shared" si="1"/>
        <v>10</v>
      </c>
      <c r="S15" s="39">
        <v>15663</v>
      </c>
      <c r="T15" s="40">
        <f t="shared" si="0"/>
        <v>156630</v>
      </c>
    </row>
    <row r="16" spans="1:20" s="37" customFormat="1" x14ac:dyDescent="0.25">
      <c r="A16" s="37" t="s">
        <v>382</v>
      </c>
      <c r="B16" s="37" t="s">
        <v>383</v>
      </c>
      <c r="C16" s="38" t="s">
        <v>120</v>
      </c>
      <c r="D16" s="37">
        <v>8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f t="shared" si="1"/>
        <v>8</v>
      </c>
      <c r="S16" s="39">
        <v>419</v>
      </c>
      <c r="T16" s="40">
        <f t="shared" si="0"/>
        <v>3352</v>
      </c>
    </row>
    <row r="17" spans="1:20" s="36" customFormat="1" x14ac:dyDescent="0.25">
      <c r="A17" s="28" t="s">
        <v>384</v>
      </c>
      <c r="B17" s="28" t="s">
        <v>385</v>
      </c>
      <c r="C17" s="50" t="s">
        <v>98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37"/>
      <c r="S17" s="51"/>
      <c r="T17" s="52">
        <f t="shared" si="0"/>
        <v>0</v>
      </c>
    </row>
    <row r="18" spans="1:20" s="37" customFormat="1" x14ac:dyDescent="0.25">
      <c r="A18" s="37" t="s">
        <v>386</v>
      </c>
      <c r="B18" s="37" t="s">
        <v>387</v>
      </c>
      <c r="C18" s="38" t="s">
        <v>120</v>
      </c>
      <c r="D18" s="37">
        <v>8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f t="shared" si="1"/>
        <v>8</v>
      </c>
      <c r="S18" s="39">
        <v>7069</v>
      </c>
      <c r="T18" s="40">
        <f t="shared" si="0"/>
        <v>56552</v>
      </c>
    </row>
    <row r="19" spans="1:20" s="37" customFormat="1" x14ac:dyDescent="0.25">
      <c r="A19" s="37" t="s">
        <v>388</v>
      </c>
      <c r="B19" s="37" t="s">
        <v>389</v>
      </c>
      <c r="C19" s="38" t="s">
        <v>120</v>
      </c>
      <c r="D19" s="37">
        <v>6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1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f t="shared" si="1"/>
        <v>7</v>
      </c>
      <c r="S19" s="39">
        <v>25573</v>
      </c>
      <c r="T19" s="40">
        <f t="shared" si="0"/>
        <v>179011</v>
      </c>
    </row>
    <row r="20" spans="1:20" s="37" customFormat="1" x14ac:dyDescent="0.25">
      <c r="A20" s="37" t="s">
        <v>390</v>
      </c>
      <c r="B20" s="37" t="s">
        <v>391</v>
      </c>
      <c r="C20" s="38" t="s">
        <v>255</v>
      </c>
      <c r="D20" s="37">
        <v>1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f t="shared" si="1"/>
        <v>1</v>
      </c>
      <c r="S20" s="39">
        <v>694535</v>
      </c>
      <c r="T20" s="40">
        <f t="shared" si="0"/>
        <v>694535</v>
      </c>
    </row>
    <row r="21" spans="1:20" s="36" customFormat="1" x14ac:dyDescent="0.25">
      <c r="A21" s="28" t="s">
        <v>392</v>
      </c>
      <c r="B21" s="28" t="s">
        <v>393</v>
      </c>
      <c r="C21" s="50" t="s">
        <v>98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37"/>
      <c r="S21" s="51"/>
      <c r="T21" s="52">
        <f t="shared" si="0"/>
        <v>0</v>
      </c>
    </row>
    <row r="22" spans="1:20" s="37" customFormat="1" x14ac:dyDescent="0.25">
      <c r="A22" s="37" t="s">
        <v>394</v>
      </c>
      <c r="B22" s="37" t="s">
        <v>395</v>
      </c>
      <c r="C22" s="38" t="s">
        <v>98</v>
      </c>
      <c r="S22" s="39"/>
      <c r="T22" s="40">
        <f t="shared" si="0"/>
        <v>0</v>
      </c>
    </row>
    <row r="23" spans="1:20" s="36" customFormat="1" x14ac:dyDescent="0.25">
      <c r="A23" s="28" t="s">
        <v>396</v>
      </c>
      <c r="B23" s="28" t="s">
        <v>397</v>
      </c>
      <c r="C23" s="50" t="s">
        <v>98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37"/>
      <c r="S23" s="51"/>
      <c r="T23" s="52">
        <f t="shared" si="0"/>
        <v>0</v>
      </c>
    </row>
    <row r="24" spans="1:20" s="37" customFormat="1" x14ac:dyDescent="0.25">
      <c r="A24" s="37" t="s">
        <v>398</v>
      </c>
      <c r="B24" s="37" t="s">
        <v>399</v>
      </c>
      <c r="C24" s="38" t="s">
        <v>120</v>
      </c>
      <c r="D24" s="37">
        <v>0</v>
      </c>
      <c r="E24" s="37">
        <v>0</v>
      </c>
      <c r="F24" s="37">
        <v>0</v>
      </c>
      <c r="G24" s="37">
        <v>7</v>
      </c>
      <c r="H24" s="37">
        <v>0</v>
      </c>
      <c r="I24" s="37">
        <v>16</v>
      </c>
      <c r="J24" s="37">
        <v>0</v>
      </c>
      <c r="K24" s="37">
        <v>10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f t="shared" si="1"/>
        <v>33</v>
      </c>
      <c r="S24" s="39">
        <v>3041</v>
      </c>
      <c r="T24" s="40">
        <f t="shared" si="0"/>
        <v>100353</v>
      </c>
    </row>
    <row r="25" spans="1:20" s="37" customFormat="1" x14ac:dyDescent="0.25">
      <c r="A25" s="37" t="s">
        <v>400</v>
      </c>
      <c r="B25" s="37" t="s">
        <v>401</v>
      </c>
      <c r="C25" s="38" t="s">
        <v>120</v>
      </c>
      <c r="D25" s="37">
        <v>0</v>
      </c>
      <c r="E25" s="37">
        <v>0</v>
      </c>
      <c r="F25" s="37">
        <v>0</v>
      </c>
      <c r="G25" s="37">
        <v>7</v>
      </c>
      <c r="H25" s="37">
        <v>0</v>
      </c>
      <c r="I25" s="37">
        <v>16</v>
      </c>
      <c r="J25" s="37">
        <v>0</v>
      </c>
      <c r="K25" s="37">
        <v>10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f t="shared" si="1"/>
        <v>33</v>
      </c>
      <c r="S25" s="39">
        <v>6624</v>
      </c>
      <c r="T25" s="40">
        <f t="shared" si="0"/>
        <v>218592</v>
      </c>
    </row>
    <row r="26" spans="1:20" s="37" customFormat="1" x14ac:dyDescent="0.25">
      <c r="A26" s="37" t="s">
        <v>402</v>
      </c>
      <c r="B26" s="37" t="s">
        <v>403</v>
      </c>
      <c r="C26" s="38" t="s">
        <v>98</v>
      </c>
      <c r="S26" s="39"/>
      <c r="T26" s="40">
        <f t="shared" si="0"/>
        <v>0</v>
      </c>
    </row>
    <row r="27" spans="1:20" s="37" customFormat="1" x14ac:dyDescent="0.25">
      <c r="A27" s="37" t="s">
        <v>404</v>
      </c>
      <c r="B27" s="37" t="s">
        <v>405</v>
      </c>
      <c r="C27" s="38" t="s">
        <v>120</v>
      </c>
      <c r="D27" s="37">
        <v>0</v>
      </c>
      <c r="E27" s="37">
        <v>0</v>
      </c>
      <c r="F27" s="37">
        <v>0</v>
      </c>
      <c r="G27" s="37">
        <v>23</v>
      </c>
      <c r="H27" s="37">
        <v>0</v>
      </c>
      <c r="I27" s="37">
        <v>0</v>
      </c>
      <c r="J27" s="37">
        <v>0</v>
      </c>
      <c r="K27" s="37">
        <v>10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f t="shared" si="1"/>
        <v>33</v>
      </c>
      <c r="S27" s="39">
        <v>3312</v>
      </c>
      <c r="T27" s="40">
        <f t="shared" si="0"/>
        <v>109296</v>
      </c>
    </row>
    <row r="28" spans="1:20" s="37" customFormat="1" x14ac:dyDescent="0.25">
      <c r="A28" s="37" t="s">
        <v>406</v>
      </c>
      <c r="B28" s="37" t="s">
        <v>407</v>
      </c>
      <c r="C28" s="38" t="s">
        <v>120</v>
      </c>
      <c r="D28" s="37">
        <v>0</v>
      </c>
      <c r="E28" s="37">
        <v>194</v>
      </c>
      <c r="F28" s="37">
        <v>0</v>
      </c>
      <c r="G28" s="37">
        <v>194</v>
      </c>
      <c r="H28" s="37">
        <v>0</v>
      </c>
      <c r="I28" s="37">
        <v>388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f t="shared" si="1"/>
        <v>776</v>
      </c>
      <c r="S28" s="39">
        <v>3280</v>
      </c>
      <c r="T28" s="40">
        <f t="shared" si="0"/>
        <v>2545280</v>
      </c>
    </row>
    <row r="29" spans="1:20" s="36" customFormat="1" x14ac:dyDescent="0.25">
      <c r="A29" s="28" t="s">
        <v>408</v>
      </c>
      <c r="B29" s="28" t="s">
        <v>409</v>
      </c>
      <c r="C29" s="50" t="s">
        <v>98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37"/>
      <c r="S29" s="51"/>
      <c r="T29" s="52">
        <f t="shared" si="0"/>
        <v>0</v>
      </c>
    </row>
    <row r="30" spans="1:20" s="37" customFormat="1" x14ac:dyDescent="0.25">
      <c r="A30" s="37" t="s">
        <v>410</v>
      </c>
      <c r="B30" s="37" t="s">
        <v>411</v>
      </c>
      <c r="C30" s="38" t="s">
        <v>120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1</v>
      </c>
      <c r="L30" s="37">
        <v>0</v>
      </c>
      <c r="M30" s="37">
        <v>0</v>
      </c>
      <c r="N30" s="37">
        <v>1</v>
      </c>
      <c r="O30" s="37">
        <v>0</v>
      </c>
      <c r="P30" s="37">
        <v>0</v>
      </c>
      <c r="Q30" s="37">
        <v>0</v>
      </c>
      <c r="R30" s="37">
        <f t="shared" si="1"/>
        <v>2</v>
      </c>
      <c r="S30" s="39">
        <v>13051</v>
      </c>
      <c r="T30" s="40">
        <f t="shared" si="0"/>
        <v>26102</v>
      </c>
    </row>
    <row r="31" spans="1:20" s="37" customFormat="1" x14ac:dyDescent="0.25">
      <c r="A31" s="37" t="s">
        <v>412</v>
      </c>
      <c r="B31" s="37" t="s">
        <v>413</v>
      </c>
      <c r="C31" s="38" t="s">
        <v>120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1</v>
      </c>
      <c r="N31" s="37">
        <v>0</v>
      </c>
      <c r="O31" s="37">
        <v>0</v>
      </c>
      <c r="P31" s="37">
        <v>0</v>
      </c>
      <c r="Q31" s="37">
        <v>1</v>
      </c>
      <c r="R31" s="37">
        <f t="shared" si="1"/>
        <v>2</v>
      </c>
      <c r="S31" s="39">
        <v>6526</v>
      </c>
      <c r="T31" s="40">
        <f t="shared" si="0"/>
        <v>13052</v>
      </c>
    </row>
    <row r="32" spans="1:20" s="36" customFormat="1" x14ac:dyDescent="0.25">
      <c r="A32" s="28" t="s">
        <v>414</v>
      </c>
      <c r="B32" s="28" t="s">
        <v>415</v>
      </c>
      <c r="C32" s="50" t="s">
        <v>98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37"/>
      <c r="S32" s="51"/>
      <c r="T32" s="52">
        <f t="shared" si="0"/>
        <v>0</v>
      </c>
    </row>
    <row r="33" spans="1:20" s="37" customFormat="1" x14ac:dyDescent="0.25">
      <c r="A33" s="37" t="s">
        <v>416</v>
      </c>
      <c r="B33" s="37" t="s">
        <v>417</v>
      </c>
      <c r="C33" s="38" t="s">
        <v>105</v>
      </c>
      <c r="D33" s="37">
        <v>40</v>
      </c>
      <c r="E33" s="37">
        <v>0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f t="shared" si="1"/>
        <v>40</v>
      </c>
      <c r="S33" s="39">
        <v>257</v>
      </c>
      <c r="T33" s="40">
        <f t="shared" si="0"/>
        <v>10280</v>
      </c>
    </row>
    <row r="34" spans="1:20" s="37" customFormat="1" x14ac:dyDescent="0.25">
      <c r="A34" s="37" t="s">
        <v>418</v>
      </c>
      <c r="B34" s="37" t="s">
        <v>419</v>
      </c>
      <c r="C34" s="38" t="s">
        <v>105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120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f t="shared" si="1"/>
        <v>120</v>
      </c>
      <c r="S34" s="39">
        <v>54</v>
      </c>
      <c r="T34" s="40">
        <f t="shared" ref="T34:T56" si="2">R34*S34</f>
        <v>6480</v>
      </c>
    </row>
    <row r="35" spans="1:20" s="37" customFormat="1" x14ac:dyDescent="0.25">
      <c r="A35" s="37" t="s">
        <v>420</v>
      </c>
      <c r="B35" s="37" t="s">
        <v>421</v>
      </c>
      <c r="C35" s="38" t="s">
        <v>105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60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f t="shared" si="1"/>
        <v>60</v>
      </c>
      <c r="S35" s="39">
        <v>28</v>
      </c>
      <c r="T35" s="40">
        <f t="shared" si="2"/>
        <v>1680</v>
      </c>
    </row>
    <row r="36" spans="1:20" s="36" customFormat="1" x14ac:dyDescent="0.25">
      <c r="A36" s="28" t="s">
        <v>422</v>
      </c>
      <c r="B36" s="28" t="s">
        <v>423</v>
      </c>
      <c r="C36" s="50" t="s">
        <v>98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37"/>
      <c r="S36" s="51"/>
      <c r="T36" s="52">
        <f t="shared" si="2"/>
        <v>0</v>
      </c>
    </row>
    <row r="37" spans="1:20" s="37" customFormat="1" x14ac:dyDescent="0.25">
      <c r="A37" s="37" t="s">
        <v>424</v>
      </c>
      <c r="B37" s="37" t="s">
        <v>425</v>
      </c>
      <c r="C37" s="38" t="s">
        <v>98</v>
      </c>
      <c r="S37" s="39"/>
      <c r="T37" s="40">
        <f t="shared" si="2"/>
        <v>0</v>
      </c>
    </row>
    <row r="38" spans="1:20" s="37" customFormat="1" x14ac:dyDescent="0.25">
      <c r="A38" s="37" t="s">
        <v>426</v>
      </c>
      <c r="B38" s="37" t="s">
        <v>427</v>
      </c>
      <c r="C38" s="38" t="s">
        <v>105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50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f t="shared" si="1"/>
        <v>50</v>
      </c>
      <c r="S38" s="39">
        <v>42</v>
      </c>
      <c r="T38" s="40">
        <f t="shared" si="2"/>
        <v>2100</v>
      </c>
    </row>
    <row r="39" spans="1:20" s="36" customFormat="1" x14ac:dyDescent="0.25">
      <c r="A39" s="28" t="s">
        <v>428</v>
      </c>
      <c r="B39" s="28" t="s">
        <v>429</v>
      </c>
      <c r="C39" s="50" t="s">
        <v>98</v>
      </c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37"/>
      <c r="S39" s="51"/>
      <c r="T39" s="52">
        <f t="shared" si="2"/>
        <v>0</v>
      </c>
    </row>
    <row r="40" spans="1:20" s="37" customFormat="1" x14ac:dyDescent="0.25">
      <c r="A40" s="37" t="s">
        <v>430</v>
      </c>
      <c r="B40" s="37" t="s">
        <v>425</v>
      </c>
      <c r="C40" s="38" t="s">
        <v>98</v>
      </c>
      <c r="S40" s="39"/>
      <c r="T40" s="40">
        <f t="shared" si="2"/>
        <v>0</v>
      </c>
    </row>
    <row r="41" spans="1:20" s="37" customFormat="1" x14ac:dyDescent="0.25">
      <c r="A41" s="37" t="s">
        <v>431</v>
      </c>
      <c r="B41" s="37" t="s">
        <v>432</v>
      </c>
      <c r="C41" s="38" t="s">
        <v>105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900</v>
      </c>
      <c r="L41" s="37">
        <v>0</v>
      </c>
      <c r="M41" s="37">
        <v>0</v>
      </c>
      <c r="N41" s="37">
        <v>0</v>
      </c>
      <c r="O41" s="37">
        <v>0</v>
      </c>
      <c r="P41" s="37">
        <v>0</v>
      </c>
      <c r="Q41" s="37">
        <v>0</v>
      </c>
      <c r="R41" s="37">
        <f t="shared" si="1"/>
        <v>900</v>
      </c>
      <c r="S41" s="39">
        <v>42</v>
      </c>
      <c r="T41" s="40">
        <f t="shared" si="2"/>
        <v>37800</v>
      </c>
    </row>
    <row r="42" spans="1:20" s="37" customFormat="1" x14ac:dyDescent="0.25">
      <c r="A42" s="37" t="s">
        <v>433</v>
      </c>
      <c r="B42" s="37" t="s">
        <v>434</v>
      </c>
      <c r="C42" s="38" t="s">
        <v>98</v>
      </c>
      <c r="S42" s="39"/>
      <c r="T42" s="40">
        <f t="shared" si="2"/>
        <v>0</v>
      </c>
    </row>
    <row r="43" spans="1:20" s="37" customFormat="1" x14ac:dyDescent="0.25">
      <c r="A43" s="37" t="s">
        <v>435</v>
      </c>
      <c r="B43" s="37" t="s">
        <v>436</v>
      </c>
      <c r="C43" s="38" t="s">
        <v>120</v>
      </c>
      <c r="D43" s="37">
        <v>30</v>
      </c>
      <c r="E43" s="37">
        <v>0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484</v>
      </c>
      <c r="N43" s="37">
        <v>0</v>
      </c>
      <c r="O43" s="37">
        <v>0</v>
      </c>
      <c r="P43" s="37">
        <v>0</v>
      </c>
      <c r="Q43" s="37">
        <v>500</v>
      </c>
      <c r="R43" s="37">
        <f t="shared" si="1"/>
        <v>1014</v>
      </c>
      <c r="S43" s="39">
        <v>1899</v>
      </c>
      <c r="T43" s="40">
        <f t="shared" si="2"/>
        <v>1925586</v>
      </c>
    </row>
    <row r="44" spans="1:20" s="37" customFormat="1" x14ac:dyDescent="0.25">
      <c r="A44" s="37" t="s">
        <v>437</v>
      </c>
      <c r="B44" s="37" t="s">
        <v>438</v>
      </c>
      <c r="C44" s="38" t="s">
        <v>98</v>
      </c>
      <c r="S44" s="39"/>
      <c r="T44" s="40">
        <f t="shared" si="2"/>
        <v>0</v>
      </c>
    </row>
    <row r="45" spans="1:20" s="37" customFormat="1" x14ac:dyDescent="0.25">
      <c r="A45" s="37" t="s">
        <v>439</v>
      </c>
      <c r="B45" s="37" t="s">
        <v>440</v>
      </c>
      <c r="C45" s="38" t="s">
        <v>105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116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f t="shared" si="1"/>
        <v>116</v>
      </c>
      <c r="S45" s="39">
        <v>424</v>
      </c>
      <c r="T45" s="40">
        <f t="shared" si="2"/>
        <v>49184</v>
      </c>
    </row>
    <row r="46" spans="1:20" s="36" customFormat="1" x14ac:dyDescent="0.25">
      <c r="A46" s="28" t="s">
        <v>441</v>
      </c>
      <c r="B46" s="28" t="s">
        <v>442</v>
      </c>
      <c r="C46" s="50" t="s">
        <v>98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37"/>
      <c r="S46" s="51"/>
      <c r="T46" s="52">
        <f t="shared" si="2"/>
        <v>0</v>
      </c>
    </row>
    <row r="47" spans="1:20" s="37" customFormat="1" x14ac:dyDescent="0.25">
      <c r="A47" s="37" t="s">
        <v>443</v>
      </c>
      <c r="B47" s="37" t="s">
        <v>444</v>
      </c>
      <c r="C47" s="38" t="s">
        <v>98</v>
      </c>
      <c r="S47" s="39"/>
      <c r="T47" s="40">
        <f t="shared" si="2"/>
        <v>0</v>
      </c>
    </row>
    <row r="48" spans="1:20" s="37" customFormat="1" x14ac:dyDescent="0.25">
      <c r="A48" s="37" t="s">
        <v>445</v>
      </c>
      <c r="B48" s="37" t="s">
        <v>446</v>
      </c>
      <c r="C48" s="38" t="s">
        <v>255</v>
      </c>
      <c r="D48" s="37">
        <v>0</v>
      </c>
      <c r="E48" s="37">
        <v>2</v>
      </c>
      <c r="F48" s="37">
        <v>0</v>
      </c>
      <c r="G48" s="37">
        <v>2</v>
      </c>
      <c r="H48" s="37">
        <v>0</v>
      </c>
      <c r="I48" s="37">
        <v>1</v>
      </c>
      <c r="J48" s="37">
        <v>0</v>
      </c>
      <c r="K48" s="37">
        <v>0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  <c r="Q48" s="37">
        <v>0</v>
      </c>
      <c r="R48" s="37">
        <f t="shared" si="1"/>
        <v>5</v>
      </c>
      <c r="S48" s="39">
        <v>17625</v>
      </c>
      <c r="T48" s="40">
        <f t="shared" si="2"/>
        <v>88125</v>
      </c>
    </row>
    <row r="49" spans="1:20" s="37" customFormat="1" x14ac:dyDescent="0.25">
      <c r="A49" s="37" t="s">
        <v>447</v>
      </c>
      <c r="B49" s="37" t="s">
        <v>448</v>
      </c>
      <c r="C49" s="38" t="s">
        <v>98</v>
      </c>
      <c r="R49" s="37">
        <f t="shared" si="1"/>
        <v>0</v>
      </c>
      <c r="S49" s="39"/>
      <c r="T49" s="40">
        <f t="shared" si="2"/>
        <v>0</v>
      </c>
    </row>
    <row r="50" spans="1:20" s="37" customFormat="1" x14ac:dyDescent="0.25">
      <c r="A50" s="37" t="s">
        <v>449</v>
      </c>
      <c r="B50" s="37" t="s">
        <v>450</v>
      </c>
      <c r="C50" s="38" t="s">
        <v>255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5</v>
      </c>
      <c r="J50" s="37">
        <v>0</v>
      </c>
      <c r="K50" s="37">
        <v>0</v>
      </c>
      <c r="L50" s="37">
        <v>0</v>
      </c>
      <c r="M50" s="37">
        <v>0</v>
      </c>
      <c r="N50" s="37">
        <v>0</v>
      </c>
      <c r="O50" s="37">
        <v>0</v>
      </c>
      <c r="P50" s="37">
        <v>0</v>
      </c>
      <c r="Q50" s="37">
        <v>0</v>
      </c>
      <c r="R50" s="37">
        <f t="shared" si="1"/>
        <v>5</v>
      </c>
      <c r="S50" s="39">
        <v>488999</v>
      </c>
      <c r="T50" s="40">
        <f t="shared" si="2"/>
        <v>2444995</v>
      </c>
    </row>
    <row r="51" spans="1:20" s="37" customFormat="1" x14ac:dyDescent="0.25">
      <c r="A51" s="37" t="s">
        <v>451</v>
      </c>
      <c r="B51" s="37" t="s">
        <v>452</v>
      </c>
      <c r="C51" s="38" t="s">
        <v>98</v>
      </c>
      <c r="S51" s="39"/>
      <c r="T51" s="40">
        <f t="shared" si="2"/>
        <v>0</v>
      </c>
    </row>
    <row r="52" spans="1:20" s="37" customFormat="1" x14ac:dyDescent="0.25">
      <c r="A52" s="37" t="s">
        <v>453</v>
      </c>
      <c r="B52" s="37" t="s">
        <v>454</v>
      </c>
      <c r="C52" s="38" t="s">
        <v>255</v>
      </c>
      <c r="D52" s="37">
        <v>1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37">
        <v>0</v>
      </c>
      <c r="P52" s="37">
        <v>0</v>
      </c>
      <c r="Q52" s="37">
        <v>0</v>
      </c>
      <c r="R52" s="37">
        <f t="shared" si="1"/>
        <v>1</v>
      </c>
      <c r="S52" s="39">
        <v>31668</v>
      </c>
      <c r="T52" s="40">
        <f t="shared" si="2"/>
        <v>31668</v>
      </c>
    </row>
    <row r="53" spans="1:20" s="36" customFormat="1" x14ac:dyDescent="0.25">
      <c r="A53" s="28" t="s">
        <v>455</v>
      </c>
      <c r="B53" s="28" t="s">
        <v>456</v>
      </c>
      <c r="C53" s="50" t="s">
        <v>98</v>
      </c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37"/>
      <c r="S53" s="51"/>
      <c r="T53" s="52">
        <f t="shared" si="2"/>
        <v>0</v>
      </c>
    </row>
    <row r="54" spans="1:20" s="37" customFormat="1" x14ac:dyDescent="0.25">
      <c r="A54" s="37" t="s">
        <v>457</v>
      </c>
      <c r="B54" s="37" t="s">
        <v>458</v>
      </c>
      <c r="C54" s="38" t="s">
        <v>255</v>
      </c>
      <c r="D54" s="37">
        <v>0</v>
      </c>
      <c r="E54" s="37">
        <v>1</v>
      </c>
      <c r="F54" s="37">
        <v>0</v>
      </c>
      <c r="G54" s="37">
        <v>1</v>
      </c>
      <c r="H54" s="37">
        <v>0</v>
      </c>
      <c r="I54" s="37">
        <v>1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37">
        <v>0</v>
      </c>
      <c r="P54" s="37">
        <v>0</v>
      </c>
      <c r="Q54" s="37">
        <v>0</v>
      </c>
      <c r="R54" s="37">
        <f t="shared" si="1"/>
        <v>3</v>
      </c>
      <c r="S54" s="39">
        <v>53468</v>
      </c>
      <c r="T54" s="40">
        <f t="shared" si="2"/>
        <v>160404</v>
      </c>
    </row>
    <row r="55" spans="1:20" s="37" customFormat="1" x14ac:dyDescent="0.25">
      <c r="A55" s="37" t="s">
        <v>459</v>
      </c>
      <c r="B55" s="37" t="s">
        <v>460</v>
      </c>
      <c r="C55" s="38" t="s">
        <v>120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1</v>
      </c>
      <c r="N55" s="37">
        <v>0</v>
      </c>
      <c r="O55" s="37">
        <v>0</v>
      </c>
      <c r="P55" s="37">
        <v>0</v>
      </c>
      <c r="Q55" s="37">
        <v>1</v>
      </c>
      <c r="R55" s="37">
        <f t="shared" si="1"/>
        <v>2</v>
      </c>
      <c r="S55" s="39">
        <v>10221</v>
      </c>
      <c r="T55" s="40">
        <f t="shared" si="2"/>
        <v>20442</v>
      </c>
    </row>
    <row r="56" spans="1:20" s="37" customFormat="1" x14ac:dyDescent="0.25">
      <c r="A56" s="37" t="s">
        <v>461</v>
      </c>
      <c r="B56" s="37" t="s">
        <v>462</v>
      </c>
      <c r="C56" s="38" t="s">
        <v>255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  <c r="K56" s="37">
        <v>0</v>
      </c>
      <c r="L56" s="37">
        <v>0</v>
      </c>
      <c r="M56" s="37">
        <v>0</v>
      </c>
      <c r="N56" s="37">
        <v>0</v>
      </c>
      <c r="O56" s="37">
        <v>0</v>
      </c>
      <c r="P56" s="37">
        <v>0</v>
      </c>
      <c r="Q56" s="37">
        <v>1</v>
      </c>
      <c r="R56" s="37">
        <f t="shared" si="1"/>
        <v>1</v>
      </c>
      <c r="S56" s="39">
        <v>55031</v>
      </c>
      <c r="T56" s="40">
        <f t="shared" si="2"/>
        <v>55031</v>
      </c>
    </row>
    <row r="58" spans="1:20" s="41" customFormat="1" x14ac:dyDescent="0.25">
      <c r="B58" s="41" t="s">
        <v>129</v>
      </c>
      <c r="S58" s="42"/>
      <c r="T58" s="43">
        <f>SUM(T2:T56)</f>
        <v>11396006</v>
      </c>
    </row>
    <row r="59" spans="1:20" x14ac:dyDescent="0.25">
      <c r="A59" t="s">
        <v>98</v>
      </c>
      <c r="B59" t="s">
        <v>130</v>
      </c>
      <c r="S59" s="44"/>
    </row>
  </sheetData>
  <pageMargins left="0.6" right="0.4" top="0.6" bottom="0.4" header="0.2" footer="0.2"/>
  <pageSetup paperSize="8" scale="44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34"/>
  <sheetViews>
    <sheetView view="pageBreakPreview" zoomScale="85" zoomScaleNormal="70" zoomScaleSheetLayoutView="85" workbookViewId="0">
      <selection activeCell="G4" sqref="G4"/>
    </sheetView>
  </sheetViews>
  <sheetFormatPr defaultRowHeight="15" x14ac:dyDescent="0.25"/>
  <cols>
    <col min="1" max="1" width="12" customWidth="1"/>
    <col min="2" max="2" width="75" customWidth="1"/>
    <col min="3" max="20" width="20" customWidth="1"/>
  </cols>
  <sheetData>
    <row r="1" spans="1:20" s="28" customFormat="1" ht="90" customHeight="1" x14ac:dyDescent="0.25">
      <c r="A1" s="29" t="s">
        <v>79</v>
      </c>
      <c r="B1" s="28" t="s">
        <v>45</v>
      </c>
      <c r="C1" s="30" t="s">
        <v>80</v>
      </c>
      <c r="D1" s="30" t="s">
        <v>81</v>
      </c>
      <c r="E1" s="30" t="s">
        <v>82</v>
      </c>
      <c r="F1" s="30" t="s">
        <v>83</v>
      </c>
      <c r="G1" s="30" t="s">
        <v>84</v>
      </c>
      <c r="H1" s="30" t="s">
        <v>85</v>
      </c>
      <c r="I1" s="30" t="s">
        <v>86</v>
      </c>
      <c r="J1" s="30" t="s">
        <v>87</v>
      </c>
      <c r="K1" s="30" t="s">
        <v>88</v>
      </c>
      <c r="L1" s="30" t="s">
        <v>89</v>
      </c>
      <c r="M1" s="30" t="s">
        <v>90</v>
      </c>
      <c r="N1" s="30" t="s">
        <v>91</v>
      </c>
      <c r="O1" s="30" t="s">
        <v>92</v>
      </c>
      <c r="P1" s="30" t="s">
        <v>93</v>
      </c>
      <c r="Q1" s="30" t="s">
        <v>94</v>
      </c>
      <c r="R1" s="30" t="s">
        <v>95</v>
      </c>
      <c r="S1" s="31" t="s">
        <v>96</v>
      </c>
      <c r="T1" s="30" t="s">
        <v>97</v>
      </c>
    </row>
    <row r="2" spans="1:20" s="32" customFormat="1" ht="15.75" x14ac:dyDescent="0.25">
      <c r="A2" s="32" t="s">
        <v>44</v>
      </c>
      <c r="B2" s="32" t="s">
        <v>45</v>
      </c>
      <c r="C2" s="33" t="s">
        <v>98</v>
      </c>
      <c r="S2" s="34"/>
      <c r="T2" s="35">
        <f t="shared" ref="T2:T31" si="0">R2*S2</f>
        <v>0</v>
      </c>
    </row>
    <row r="3" spans="1:20" s="36" customFormat="1" x14ac:dyDescent="0.25">
      <c r="A3" s="28" t="s">
        <v>463</v>
      </c>
      <c r="B3" s="28" t="s">
        <v>464</v>
      </c>
      <c r="C3" s="50" t="s">
        <v>98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51"/>
      <c r="T3" s="52">
        <f t="shared" si="0"/>
        <v>0</v>
      </c>
    </row>
    <row r="4" spans="1:20" s="37" customFormat="1" x14ac:dyDescent="0.25">
      <c r="A4" s="37" t="s">
        <v>465</v>
      </c>
      <c r="B4" s="37" t="s">
        <v>466</v>
      </c>
      <c r="C4" s="38" t="s">
        <v>120</v>
      </c>
      <c r="D4" s="37">
        <v>0</v>
      </c>
      <c r="E4" s="37">
        <v>2</v>
      </c>
      <c r="F4" s="37">
        <v>0</v>
      </c>
      <c r="G4" s="37">
        <v>0</v>
      </c>
      <c r="H4" s="37">
        <v>0</v>
      </c>
      <c r="I4" s="37">
        <v>24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>
        <v>0</v>
      </c>
      <c r="R4" s="37">
        <f>SUM(D4:Q4)</f>
        <v>26</v>
      </c>
      <c r="S4" s="39">
        <v>5948</v>
      </c>
      <c r="T4" s="40">
        <f t="shared" si="0"/>
        <v>154648</v>
      </c>
    </row>
    <row r="5" spans="1:20" s="37" customFormat="1" x14ac:dyDescent="0.25">
      <c r="A5" s="37" t="s">
        <v>467</v>
      </c>
      <c r="B5" s="37" t="s">
        <v>468</v>
      </c>
      <c r="C5" s="38" t="s">
        <v>120</v>
      </c>
      <c r="D5" s="37">
        <v>0</v>
      </c>
      <c r="E5" s="37">
        <v>2</v>
      </c>
      <c r="F5" s="37">
        <v>0</v>
      </c>
      <c r="G5" s="37">
        <v>0</v>
      </c>
      <c r="H5" s="37">
        <v>0</v>
      </c>
      <c r="I5" s="37">
        <v>24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f t="shared" ref="R5:R30" si="1">SUM(D5:Q5)</f>
        <v>26</v>
      </c>
      <c r="S5" s="39">
        <v>9424</v>
      </c>
      <c r="T5" s="40">
        <f t="shared" si="0"/>
        <v>245024</v>
      </c>
    </row>
    <row r="6" spans="1:20" s="37" customFormat="1" x14ac:dyDescent="0.25">
      <c r="A6" s="37" t="s">
        <v>469</v>
      </c>
      <c r="B6" s="37" t="s">
        <v>470</v>
      </c>
      <c r="C6" s="38" t="s">
        <v>120</v>
      </c>
      <c r="D6" s="37">
        <v>0</v>
      </c>
      <c r="E6" s="37">
        <v>18</v>
      </c>
      <c r="F6" s="37">
        <v>0</v>
      </c>
      <c r="G6" s="37">
        <v>0</v>
      </c>
      <c r="H6" s="37">
        <v>0</v>
      </c>
      <c r="I6" s="37">
        <v>26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f t="shared" si="1"/>
        <v>44</v>
      </c>
      <c r="S6" s="39">
        <v>5978</v>
      </c>
      <c r="T6" s="40">
        <f t="shared" si="0"/>
        <v>263032</v>
      </c>
    </row>
    <row r="7" spans="1:20" s="36" customFormat="1" x14ac:dyDescent="0.25">
      <c r="A7" s="28" t="s">
        <v>471</v>
      </c>
      <c r="B7" s="28" t="s">
        <v>472</v>
      </c>
      <c r="C7" s="50" t="s">
        <v>98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37"/>
      <c r="S7" s="51"/>
      <c r="T7" s="52">
        <f t="shared" si="0"/>
        <v>0</v>
      </c>
    </row>
    <row r="8" spans="1:20" s="37" customFormat="1" x14ac:dyDescent="0.25">
      <c r="A8" s="37" t="s">
        <v>473</v>
      </c>
      <c r="B8" s="37" t="s">
        <v>474</v>
      </c>
      <c r="C8" s="38" t="s">
        <v>120</v>
      </c>
      <c r="D8" s="37">
        <v>0</v>
      </c>
      <c r="E8" s="37">
        <v>2</v>
      </c>
      <c r="F8" s="37">
        <v>0</v>
      </c>
      <c r="G8" s="37">
        <v>0</v>
      </c>
      <c r="H8" s="37">
        <v>0</v>
      </c>
      <c r="I8" s="37">
        <v>2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f t="shared" si="1"/>
        <v>4</v>
      </c>
      <c r="S8" s="39">
        <v>3021</v>
      </c>
      <c r="T8" s="40">
        <f t="shared" si="0"/>
        <v>12084</v>
      </c>
    </row>
    <row r="9" spans="1:20" s="37" customFormat="1" x14ac:dyDescent="0.25">
      <c r="A9" s="37" t="s">
        <v>475</v>
      </c>
      <c r="B9" s="37" t="s">
        <v>476</v>
      </c>
      <c r="C9" s="38" t="s">
        <v>120</v>
      </c>
      <c r="D9" s="37">
        <v>0</v>
      </c>
      <c r="E9" s="37">
        <v>2</v>
      </c>
      <c r="F9" s="37">
        <v>0</v>
      </c>
      <c r="G9" s="37">
        <v>0</v>
      </c>
      <c r="H9" s="37">
        <v>0</v>
      </c>
      <c r="I9" s="37">
        <v>2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f t="shared" si="1"/>
        <v>4</v>
      </c>
      <c r="S9" s="39">
        <v>2955</v>
      </c>
      <c r="T9" s="40">
        <f t="shared" si="0"/>
        <v>11820</v>
      </c>
    </row>
    <row r="10" spans="1:20" s="37" customFormat="1" x14ac:dyDescent="0.25">
      <c r="A10" s="37" t="s">
        <v>477</v>
      </c>
      <c r="B10" s="37" t="s">
        <v>478</v>
      </c>
      <c r="C10" s="38" t="s">
        <v>105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12000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f t="shared" si="1"/>
        <v>12000</v>
      </c>
      <c r="S10" s="39">
        <v>52</v>
      </c>
      <c r="T10" s="40">
        <f t="shared" si="0"/>
        <v>624000</v>
      </c>
    </row>
    <row r="11" spans="1:20" s="37" customFormat="1" x14ac:dyDescent="0.25">
      <c r="A11" s="37" t="s">
        <v>479</v>
      </c>
      <c r="B11" s="37" t="s">
        <v>480</v>
      </c>
      <c r="C11" s="38" t="s">
        <v>105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12000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f t="shared" si="1"/>
        <v>12000</v>
      </c>
      <c r="S11" s="39">
        <v>73</v>
      </c>
      <c r="T11" s="40">
        <f t="shared" si="0"/>
        <v>876000</v>
      </c>
    </row>
    <row r="12" spans="1:20" s="37" customFormat="1" x14ac:dyDescent="0.25">
      <c r="A12" s="37" t="s">
        <v>481</v>
      </c>
      <c r="B12" s="37" t="s">
        <v>482</v>
      </c>
      <c r="C12" s="38" t="s">
        <v>120</v>
      </c>
      <c r="D12" s="37">
        <v>0</v>
      </c>
      <c r="E12" s="37">
        <v>2</v>
      </c>
      <c r="F12" s="37">
        <v>0</v>
      </c>
      <c r="G12" s="37">
        <v>0</v>
      </c>
      <c r="H12" s="37">
        <v>0</v>
      </c>
      <c r="I12" s="37">
        <v>2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f t="shared" si="1"/>
        <v>4</v>
      </c>
      <c r="S12" s="39">
        <v>4167</v>
      </c>
      <c r="T12" s="40">
        <f t="shared" si="0"/>
        <v>16668</v>
      </c>
    </row>
    <row r="13" spans="1:20" s="37" customFormat="1" x14ac:dyDescent="0.25">
      <c r="A13" s="37" t="s">
        <v>483</v>
      </c>
      <c r="B13" s="37" t="s">
        <v>484</v>
      </c>
      <c r="C13" s="38" t="s">
        <v>120</v>
      </c>
      <c r="D13" s="37">
        <v>0</v>
      </c>
      <c r="E13" s="37">
        <v>24</v>
      </c>
      <c r="F13" s="37">
        <v>0</v>
      </c>
      <c r="G13" s="37">
        <v>11</v>
      </c>
      <c r="H13" s="37">
        <v>0</v>
      </c>
      <c r="I13" s="37">
        <v>17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f t="shared" si="1"/>
        <v>52</v>
      </c>
      <c r="S13" s="39">
        <v>1528</v>
      </c>
      <c r="T13" s="40">
        <f t="shared" si="0"/>
        <v>79456</v>
      </c>
    </row>
    <row r="14" spans="1:20" s="36" customFormat="1" x14ac:dyDescent="0.25">
      <c r="A14" s="28" t="s">
        <v>485</v>
      </c>
      <c r="B14" s="28" t="s">
        <v>486</v>
      </c>
      <c r="C14" s="50" t="s">
        <v>98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37"/>
      <c r="S14" s="51"/>
      <c r="T14" s="52">
        <f t="shared" si="0"/>
        <v>0</v>
      </c>
    </row>
    <row r="15" spans="1:20" s="37" customFormat="1" x14ac:dyDescent="0.25">
      <c r="A15" s="37" t="s">
        <v>487</v>
      </c>
      <c r="B15" s="37" t="s">
        <v>488</v>
      </c>
      <c r="C15" s="38" t="s">
        <v>120</v>
      </c>
      <c r="D15" s="37">
        <v>0</v>
      </c>
      <c r="E15" s="37">
        <v>2</v>
      </c>
      <c r="F15" s="37">
        <v>0</v>
      </c>
      <c r="G15" s="37">
        <v>0</v>
      </c>
      <c r="H15" s="37">
        <v>0</v>
      </c>
      <c r="I15" s="37">
        <v>1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f t="shared" si="1"/>
        <v>3</v>
      </c>
      <c r="S15" s="39">
        <v>1423</v>
      </c>
      <c r="T15" s="40">
        <f t="shared" si="0"/>
        <v>4269</v>
      </c>
    </row>
    <row r="16" spans="1:20" s="37" customFormat="1" x14ac:dyDescent="0.25">
      <c r="A16" s="37" t="s">
        <v>489</v>
      </c>
      <c r="B16" s="37" t="s">
        <v>490</v>
      </c>
      <c r="C16" s="38" t="s">
        <v>120</v>
      </c>
      <c r="D16" s="37">
        <v>0</v>
      </c>
      <c r="E16" s="37">
        <v>2</v>
      </c>
      <c r="F16" s="37">
        <v>0</v>
      </c>
      <c r="G16" s="37">
        <v>0</v>
      </c>
      <c r="H16" s="37">
        <v>0</v>
      </c>
      <c r="I16" s="37">
        <v>1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f t="shared" si="1"/>
        <v>3</v>
      </c>
      <c r="S16" s="39">
        <v>1897</v>
      </c>
      <c r="T16" s="40">
        <f t="shared" si="0"/>
        <v>5691</v>
      </c>
    </row>
    <row r="17" spans="1:20" s="36" customFormat="1" x14ac:dyDescent="0.25">
      <c r="A17" s="28" t="s">
        <v>491</v>
      </c>
      <c r="B17" s="28" t="s">
        <v>492</v>
      </c>
      <c r="C17" s="50" t="s">
        <v>98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37"/>
      <c r="S17" s="51"/>
      <c r="T17" s="52">
        <f t="shared" si="0"/>
        <v>0</v>
      </c>
    </row>
    <row r="18" spans="1:20" s="37" customFormat="1" x14ac:dyDescent="0.25">
      <c r="A18" s="37" t="s">
        <v>493</v>
      </c>
      <c r="B18" s="37" t="s">
        <v>494</v>
      </c>
      <c r="C18" s="38" t="s">
        <v>120</v>
      </c>
      <c r="D18" s="37">
        <v>0</v>
      </c>
      <c r="E18" s="37">
        <v>2</v>
      </c>
      <c r="F18" s="37">
        <v>0</v>
      </c>
      <c r="G18" s="37">
        <v>0</v>
      </c>
      <c r="H18" s="37">
        <v>0</v>
      </c>
      <c r="I18" s="37">
        <v>1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f t="shared" si="1"/>
        <v>3</v>
      </c>
      <c r="S18" s="39">
        <v>5986</v>
      </c>
      <c r="T18" s="40">
        <f t="shared" si="0"/>
        <v>17958</v>
      </c>
    </row>
    <row r="19" spans="1:20" s="37" customFormat="1" x14ac:dyDescent="0.25">
      <c r="A19" s="37" t="s">
        <v>495</v>
      </c>
      <c r="B19" s="37" t="s">
        <v>496</v>
      </c>
      <c r="C19" s="38" t="s">
        <v>120</v>
      </c>
      <c r="D19" s="37">
        <v>0</v>
      </c>
      <c r="E19" s="37">
        <v>2</v>
      </c>
      <c r="F19" s="37">
        <v>0</v>
      </c>
      <c r="G19" s="37">
        <v>0</v>
      </c>
      <c r="H19" s="37">
        <v>0</v>
      </c>
      <c r="I19" s="37">
        <v>2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f t="shared" si="1"/>
        <v>4</v>
      </c>
      <c r="S19" s="39">
        <v>5024</v>
      </c>
      <c r="T19" s="40">
        <f t="shared" si="0"/>
        <v>20096</v>
      </c>
    </row>
    <row r="20" spans="1:20" s="37" customFormat="1" x14ac:dyDescent="0.25">
      <c r="A20" s="37" t="s">
        <v>497</v>
      </c>
      <c r="B20" s="37" t="s">
        <v>498</v>
      </c>
      <c r="C20" s="38" t="s">
        <v>120</v>
      </c>
      <c r="D20" s="37">
        <v>0</v>
      </c>
      <c r="E20" s="37">
        <v>2</v>
      </c>
      <c r="F20" s="37">
        <v>0</v>
      </c>
      <c r="G20" s="37">
        <v>0</v>
      </c>
      <c r="H20" s="37">
        <v>0</v>
      </c>
      <c r="I20" s="37">
        <v>1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f t="shared" si="1"/>
        <v>3</v>
      </c>
      <c r="S20" s="39">
        <v>1840</v>
      </c>
      <c r="T20" s="40">
        <f t="shared" si="0"/>
        <v>5520</v>
      </c>
    </row>
    <row r="21" spans="1:20" s="36" customFormat="1" x14ac:dyDescent="0.25">
      <c r="A21" s="28" t="s">
        <v>499</v>
      </c>
      <c r="B21" s="28" t="s">
        <v>500</v>
      </c>
      <c r="C21" s="50" t="s">
        <v>98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37"/>
      <c r="S21" s="51"/>
      <c r="T21" s="52">
        <f t="shared" si="0"/>
        <v>0</v>
      </c>
    </row>
    <row r="22" spans="1:20" s="37" customFormat="1" x14ac:dyDescent="0.25">
      <c r="A22" s="37" t="s">
        <v>501</v>
      </c>
      <c r="B22" s="37" t="s">
        <v>502</v>
      </c>
      <c r="C22" s="38" t="s">
        <v>120</v>
      </c>
      <c r="D22" s="37">
        <v>0</v>
      </c>
      <c r="E22" s="37">
        <v>24</v>
      </c>
      <c r="F22" s="37">
        <v>0</v>
      </c>
      <c r="G22" s="37">
        <v>11</v>
      </c>
      <c r="H22" s="37">
        <v>0</v>
      </c>
      <c r="I22" s="37">
        <v>10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f t="shared" si="1"/>
        <v>45</v>
      </c>
      <c r="S22" s="39">
        <v>6080</v>
      </c>
      <c r="T22" s="40">
        <f t="shared" si="0"/>
        <v>273600</v>
      </c>
    </row>
    <row r="23" spans="1:20" s="37" customFormat="1" x14ac:dyDescent="0.25">
      <c r="A23" s="37" t="s">
        <v>503</v>
      </c>
      <c r="B23" s="37" t="s">
        <v>504</v>
      </c>
      <c r="C23" s="38" t="s">
        <v>120</v>
      </c>
      <c r="D23" s="37">
        <v>0</v>
      </c>
      <c r="E23" s="37">
        <v>24</v>
      </c>
      <c r="F23" s="37">
        <v>0</v>
      </c>
      <c r="G23" s="37">
        <v>11</v>
      </c>
      <c r="H23" s="37">
        <v>0</v>
      </c>
      <c r="I23" s="37">
        <v>10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f t="shared" si="1"/>
        <v>45</v>
      </c>
      <c r="S23" s="39">
        <v>10306</v>
      </c>
      <c r="T23" s="40">
        <f t="shared" si="0"/>
        <v>463770</v>
      </c>
    </row>
    <row r="24" spans="1:20" s="37" customFormat="1" x14ac:dyDescent="0.25">
      <c r="A24" s="37" t="s">
        <v>505</v>
      </c>
      <c r="B24" s="37" t="s">
        <v>506</v>
      </c>
      <c r="C24" s="38" t="s">
        <v>120</v>
      </c>
      <c r="S24" s="39"/>
      <c r="T24" s="40">
        <f t="shared" si="0"/>
        <v>0</v>
      </c>
    </row>
    <row r="25" spans="1:20" s="37" customFormat="1" x14ac:dyDescent="0.25">
      <c r="A25" s="37" t="s">
        <v>507</v>
      </c>
      <c r="B25" s="37" t="s">
        <v>508</v>
      </c>
      <c r="C25" s="38" t="s">
        <v>120</v>
      </c>
      <c r="D25" s="37">
        <v>0</v>
      </c>
      <c r="E25" s="37">
        <v>24</v>
      </c>
      <c r="F25" s="37">
        <v>0</v>
      </c>
      <c r="G25" s="37">
        <v>11</v>
      </c>
      <c r="H25" s="37">
        <v>0</v>
      </c>
      <c r="I25" s="37">
        <v>10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f t="shared" si="1"/>
        <v>45</v>
      </c>
      <c r="S25" s="39">
        <v>6251</v>
      </c>
      <c r="T25" s="40">
        <f t="shared" si="0"/>
        <v>281295</v>
      </c>
    </row>
    <row r="26" spans="1:20" s="37" customFormat="1" x14ac:dyDescent="0.25">
      <c r="A26" s="37" t="s">
        <v>509</v>
      </c>
      <c r="B26" s="37" t="s">
        <v>510</v>
      </c>
      <c r="C26" s="38" t="s">
        <v>120</v>
      </c>
      <c r="D26" s="37">
        <v>0</v>
      </c>
      <c r="E26" s="37">
        <v>24</v>
      </c>
      <c r="F26" s="37">
        <v>0</v>
      </c>
      <c r="G26" s="37">
        <v>11</v>
      </c>
      <c r="H26" s="37">
        <v>0</v>
      </c>
      <c r="I26" s="37">
        <v>10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f t="shared" si="1"/>
        <v>45</v>
      </c>
      <c r="S26" s="39">
        <v>10613</v>
      </c>
      <c r="T26" s="40">
        <f t="shared" si="0"/>
        <v>477585</v>
      </c>
    </row>
    <row r="27" spans="1:20" s="37" customFormat="1" x14ac:dyDescent="0.25">
      <c r="A27" s="37" t="s">
        <v>511</v>
      </c>
      <c r="B27" s="37" t="s">
        <v>512</v>
      </c>
      <c r="C27" s="38" t="s">
        <v>120</v>
      </c>
      <c r="D27" s="37">
        <v>0</v>
      </c>
      <c r="E27" s="37">
        <v>1</v>
      </c>
      <c r="F27" s="37">
        <v>0</v>
      </c>
      <c r="G27" s="37">
        <v>1</v>
      </c>
      <c r="H27" s="37">
        <v>0</v>
      </c>
      <c r="I27" s="37">
        <v>1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f t="shared" si="1"/>
        <v>3</v>
      </c>
      <c r="S27" s="39">
        <v>27237</v>
      </c>
      <c r="T27" s="40">
        <f t="shared" si="0"/>
        <v>81711</v>
      </c>
    </row>
    <row r="28" spans="1:20" s="37" customFormat="1" x14ac:dyDescent="0.25">
      <c r="A28" s="37" t="s">
        <v>513</v>
      </c>
      <c r="B28" s="37" t="s">
        <v>514</v>
      </c>
      <c r="C28" s="38" t="s">
        <v>515</v>
      </c>
      <c r="S28" s="39"/>
      <c r="T28" s="40">
        <f t="shared" si="0"/>
        <v>0</v>
      </c>
    </row>
    <row r="29" spans="1:20" s="37" customFormat="1" x14ac:dyDescent="0.25">
      <c r="A29" s="37" t="s">
        <v>516</v>
      </c>
      <c r="B29" s="37" t="s">
        <v>517</v>
      </c>
      <c r="C29" s="38" t="s">
        <v>515</v>
      </c>
      <c r="D29" s="37">
        <v>0</v>
      </c>
      <c r="E29" s="37">
        <v>248</v>
      </c>
      <c r="F29" s="37">
        <v>0</v>
      </c>
      <c r="G29" s="37">
        <v>336</v>
      </c>
      <c r="H29" s="37">
        <v>0</v>
      </c>
      <c r="I29" s="37">
        <v>1160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f t="shared" si="1"/>
        <v>1744</v>
      </c>
      <c r="S29" s="39">
        <v>1477</v>
      </c>
      <c r="T29" s="40">
        <f t="shared" si="0"/>
        <v>2575888</v>
      </c>
    </row>
    <row r="30" spans="1:20" s="37" customFormat="1" x14ac:dyDescent="0.25">
      <c r="A30" s="37" t="s">
        <v>518</v>
      </c>
      <c r="B30" s="37" t="s">
        <v>519</v>
      </c>
      <c r="C30" s="38" t="s">
        <v>515</v>
      </c>
      <c r="D30" s="37">
        <v>0</v>
      </c>
      <c r="E30" s="37">
        <v>20</v>
      </c>
      <c r="F30" s="37">
        <v>0</v>
      </c>
      <c r="G30" s="37">
        <v>20</v>
      </c>
      <c r="H30" s="37">
        <v>0</v>
      </c>
      <c r="I30" s="37">
        <v>60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f t="shared" si="1"/>
        <v>100</v>
      </c>
      <c r="S30" s="39">
        <v>2068</v>
      </c>
      <c r="T30" s="40">
        <f t="shared" si="0"/>
        <v>206800</v>
      </c>
    </row>
    <row r="31" spans="1:20" s="37" customFormat="1" x14ac:dyDescent="0.25">
      <c r="A31" s="37" t="s">
        <v>520</v>
      </c>
      <c r="B31" s="37" t="s">
        <v>502</v>
      </c>
      <c r="C31" s="38" t="s">
        <v>120</v>
      </c>
      <c r="S31" s="39"/>
      <c r="T31" s="40">
        <f t="shared" si="0"/>
        <v>0</v>
      </c>
    </row>
    <row r="33" spans="1:20" s="41" customFormat="1" x14ac:dyDescent="0.25">
      <c r="B33" s="41" t="s">
        <v>129</v>
      </c>
      <c r="S33" s="42"/>
      <c r="T33" s="43">
        <f>SUM(T2:T31)</f>
        <v>6696915</v>
      </c>
    </row>
    <row r="34" spans="1:20" x14ac:dyDescent="0.25">
      <c r="A34" t="s">
        <v>98</v>
      </c>
      <c r="B34" t="s">
        <v>130</v>
      </c>
      <c r="S34" s="44"/>
    </row>
  </sheetData>
  <pageMargins left="0.6" right="0.4" top="0.6" bottom="0.4" header="0.2" footer="0.2"/>
  <pageSetup paperSize="8" scale="44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27"/>
  <sheetViews>
    <sheetView view="pageBreakPreview" topLeftCell="B1" zoomScale="60" zoomScaleNormal="85" workbookViewId="0">
      <selection activeCell="G9" sqref="G9"/>
    </sheetView>
  </sheetViews>
  <sheetFormatPr defaultRowHeight="15" x14ac:dyDescent="0.25"/>
  <cols>
    <col min="1" max="1" width="12" customWidth="1"/>
    <col min="2" max="2" width="75" customWidth="1"/>
    <col min="3" max="20" width="20" customWidth="1"/>
  </cols>
  <sheetData>
    <row r="1" spans="1:20" s="28" customFormat="1" ht="90" customHeight="1" x14ac:dyDescent="0.25">
      <c r="A1" s="29" t="s">
        <v>79</v>
      </c>
      <c r="B1" s="28" t="s">
        <v>47</v>
      </c>
      <c r="C1" s="30" t="s">
        <v>80</v>
      </c>
      <c r="D1" s="30" t="s">
        <v>81</v>
      </c>
      <c r="E1" s="30" t="s">
        <v>82</v>
      </c>
      <c r="F1" s="30" t="s">
        <v>83</v>
      </c>
      <c r="G1" s="30" t="s">
        <v>84</v>
      </c>
      <c r="H1" s="30" t="s">
        <v>85</v>
      </c>
      <c r="I1" s="30" t="s">
        <v>86</v>
      </c>
      <c r="J1" s="30" t="s">
        <v>87</v>
      </c>
      <c r="K1" s="30" t="s">
        <v>88</v>
      </c>
      <c r="L1" s="30" t="s">
        <v>89</v>
      </c>
      <c r="M1" s="30" t="s">
        <v>90</v>
      </c>
      <c r="N1" s="30" t="s">
        <v>91</v>
      </c>
      <c r="O1" s="30" t="s">
        <v>92</v>
      </c>
      <c r="P1" s="30" t="s">
        <v>93</v>
      </c>
      <c r="Q1" s="30" t="s">
        <v>94</v>
      </c>
      <c r="R1" s="30" t="s">
        <v>95</v>
      </c>
      <c r="S1" s="31" t="s">
        <v>96</v>
      </c>
      <c r="T1" s="30" t="s">
        <v>97</v>
      </c>
    </row>
    <row r="2" spans="1:20" s="32" customFormat="1" ht="15.75" x14ac:dyDescent="0.25">
      <c r="A2" s="32" t="s">
        <v>46</v>
      </c>
      <c r="B2" s="32" t="s">
        <v>47</v>
      </c>
      <c r="C2" s="33" t="s">
        <v>98</v>
      </c>
      <c r="S2" s="34"/>
      <c r="T2" s="35">
        <f t="shared" ref="T2:T24" si="0">R2*S2</f>
        <v>0</v>
      </c>
    </row>
    <row r="3" spans="1:20" s="36" customFormat="1" x14ac:dyDescent="0.25">
      <c r="A3" s="28" t="s">
        <v>521</v>
      </c>
      <c r="B3" s="28" t="s">
        <v>336</v>
      </c>
      <c r="C3" s="50" t="s">
        <v>98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51"/>
      <c r="T3" s="52">
        <f t="shared" si="0"/>
        <v>0</v>
      </c>
    </row>
    <row r="4" spans="1:20" s="37" customFormat="1" x14ac:dyDescent="0.25">
      <c r="A4" s="37" t="s">
        <v>522</v>
      </c>
      <c r="B4" s="37" t="s">
        <v>523</v>
      </c>
      <c r="C4" s="38" t="s">
        <v>255</v>
      </c>
      <c r="D4" s="37">
        <v>0</v>
      </c>
      <c r="E4" s="37">
        <v>1</v>
      </c>
      <c r="F4" s="37">
        <v>0</v>
      </c>
      <c r="G4" s="37">
        <v>1</v>
      </c>
      <c r="H4" s="37">
        <v>0</v>
      </c>
      <c r="I4" s="37">
        <v>0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>
        <v>0</v>
      </c>
      <c r="R4" s="37">
        <f>SUM(D4:Q4)</f>
        <v>2</v>
      </c>
      <c r="S4" s="39">
        <v>33461</v>
      </c>
      <c r="T4" s="40">
        <f t="shared" si="0"/>
        <v>66922</v>
      </c>
    </row>
    <row r="5" spans="1:20" s="36" customFormat="1" x14ac:dyDescent="0.25">
      <c r="A5" s="28" t="s">
        <v>524</v>
      </c>
      <c r="B5" s="28" t="s">
        <v>525</v>
      </c>
      <c r="C5" s="50" t="s">
        <v>98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37"/>
      <c r="S5" s="51"/>
      <c r="T5" s="52">
        <f t="shared" si="0"/>
        <v>0</v>
      </c>
    </row>
    <row r="6" spans="1:20" s="37" customFormat="1" x14ac:dyDescent="0.25">
      <c r="A6" s="37" t="s">
        <v>526</v>
      </c>
      <c r="B6" s="37" t="s">
        <v>527</v>
      </c>
      <c r="C6" s="38" t="s">
        <v>105</v>
      </c>
      <c r="D6" s="37">
        <v>0</v>
      </c>
      <c r="E6" s="37">
        <v>30</v>
      </c>
      <c r="F6" s="37">
        <v>0</v>
      </c>
      <c r="G6" s="37">
        <v>43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49">
        <f t="shared" ref="R6:R24" si="1">SUM(D6:Q6)</f>
        <v>73</v>
      </c>
      <c r="S6" s="39">
        <v>9899</v>
      </c>
      <c r="T6" s="40">
        <f t="shared" si="0"/>
        <v>722627</v>
      </c>
    </row>
    <row r="7" spans="1:20" s="36" customFormat="1" x14ac:dyDescent="0.25">
      <c r="A7" s="28" t="s">
        <v>528</v>
      </c>
      <c r="B7" s="28" t="s">
        <v>529</v>
      </c>
      <c r="C7" s="50" t="s">
        <v>98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37"/>
      <c r="S7" s="51"/>
      <c r="T7" s="52">
        <f t="shared" si="0"/>
        <v>0</v>
      </c>
    </row>
    <row r="8" spans="1:20" s="37" customFormat="1" x14ac:dyDescent="0.25">
      <c r="A8" s="37" t="s">
        <v>530</v>
      </c>
      <c r="B8" s="37" t="s">
        <v>531</v>
      </c>
      <c r="C8" s="38" t="s">
        <v>98</v>
      </c>
      <c r="S8" s="39"/>
      <c r="T8" s="40">
        <f t="shared" si="0"/>
        <v>0</v>
      </c>
    </row>
    <row r="9" spans="1:20" s="37" customFormat="1" x14ac:dyDescent="0.25">
      <c r="A9" s="37" t="s">
        <v>532</v>
      </c>
      <c r="B9" s="37" t="s">
        <v>533</v>
      </c>
      <c r="C9" s="38" t="s">
        <v>105</v>
      </c>
      <c r="D9" s="37">
        <v>0</v>
      </c>
      <c r="E9" s="37">
        <v>61</v>
      </c>
      <c r="F9" s="37">
        <v>0</v>
      </c>
      <c r="G9" s="37">
        <v>22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f t="shared" si="1"/>
        <v>83</v>
      </c>
      <c r="S9" s="39">
        <v>1789</v>
      </c>
      <c r="T9" s="40">
        <f t="shared" si="0"/>
        <v>148487</v>
      </c>
    </row>
    <row r="10" spans="1:20" s="37" customFormat="1" x14ac:dyDescent="0.25">
      <c r="A10" s="37" t="s">
        <v>534</v>
      </c>
      <c r="B10" s="37" t="s">
        <v>535</v>
      </c>
      <c r="C10" s="38" t="s">
        <v>105</v>
      </c>
      <c r="D10" s="37">
        <v>0</v>
      </c>
      <c r="E10" s="37">
        <v>61</v>
      </c>
      <c r="F10" s="37">
        <v>0</v>
      </c>
      <c r="G10" s="37">
        <v>10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f t="shared" si="1"/>
        <v>71</v>
      </c>
      <c r="S10" s="39">
        <v>1697</v>
      </c>
      <c r="T10" s="40">
        <f t="shared" si="0"/>
        <v>120487</v>
      </c>
    </row>
    <row r="11" spans="1:20" s="37" customFormat="1" x14ac:dyDescent="0.25">
      <c r="A11" s="37" t="s">
        <v>536</v>
      </c>
      <c r="B11" s="37" t="s">
        <v>537</v>
      </c>
      <c r="C11" s="38" t="s">
        <v>105</v>
      </c>
      <c r="D11" s="37">
        <v>0</v>
      </c>
      <c r="E11" s="37">
        <v>61</v>
      </c>
      <c r="F11" s="37">
        <v>0</v>
      </c>
      <c r="G11" s="37">
        <v>22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f t="shared" si="1"/>
        <v>83</v>
      </c>
      <c r="S11" s="39">
        <v>376</v>
      </c>
      <c r="T11" s="40">
        <f t="shared" si="0"/>
        <v>31208</v>
      </c>
    </row>
    <row r="12" spans="1:20" s="37" customFormat="1" x14ac:dyDescent="0.25">
      <c r="A12" s="37" t="s">
        <v>538</v>
      </c>
      <c r="B12" s="37" t="s">
        <v>539</v>
      </c>
      <c r="C12" s="38" t="s">
        <v>105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f t="shared" si="1"/>
        <v>0</v>
      </c>
      <c r="S12" s="39"/>
      <c r="T12" s="40">
        <f t="shared" si="0"/>
        <v>0</v>
      </c>
    </row>
    <row r="13" spans="1:20" s="37" customFormat="1" x14ac:dyDescent="0.25">
      <c r="A13" s="37" t="s">
        <v>540</v>
      </c>
      <c r="B13" s="37" t="s">
        <v>541</v>
      </c>
      <c r="C13" s="38" t="s">
        <v>105</v>
      </c>
      <c r="D13" s="37">
        <v>0</v>
      </c>
      <c r="E13" s="37">
        <v>28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f t="shared" si="1"/>
        <v>28</v>
      </c>
      <c r="S13" s="39">
        <v>5045</v>
      </c>
      <c r="T13" s="40">
        <f t="shared" si="0"/>
        <v>141260</v>
      </c>
    </row>
    <row r="14" spans="1:20" s="37" customFormat="1" x14ac:dyDescent="0.25">
      <c r="A14" s="37" t="s">
        <v>542</v>
      </c>
      <c r="B14" s="37" t="s">
        <v>543</v>
      </c>
      <c r="C14" s="38" t="s">
        <v>105</v>
      </c>
      <c r="D14" s="37">
        <v>0</v>
      </c>
      <c r="E14" s="37">
        <v>30</v>
      </c>
      <c r="F14" s="37">
        <v>0</v>
      </c>
      <c r="G14" s="37">
        <v>10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f t="shared" si="1"/>
        <v>40</v>
      </c>
      <c r="S14" s="39">
        <v>5222</v>
      </c>
      <c r="T14" s="40">
        <f t="shared" si="0"/>
        <v>208880</v>
      </c>
    </row>
    <row r="15" spans="1:20" s="37" customFormat="1" x14ac:dyDescent="0.25">
      <c r="A15" s="37" t="s">
        <v>544</v>
      </c>
      <c r="B15" s="37" t="s">
        <v>545</v>
      </c>
      <c r="C15" s="38" t="s">
        <v>105</v>
      </c>
      <c r="D15" s="37">
        <v>0</v>
      </c>
      <c r="E15" s="37">
        <v>3</v>
      </c>
      <c r="F15" s="37">
        <v>0</v>
      </c>
      <c r="G15" s="37">
        <v>4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f t="shared" si="1"/>
        <v>7</v>
      </c>
      <c r="S15" s="39">
        <v>43403</v>
      </c>
      <c r="T15" s="40">
        <f t="shared" si="0"/>
        <v>303821</v>
      </c>
    </row>
    <row r="16" spans="1:20" s="37" customFormat="1" x14ac:dyDescent="0.25">
      <c r="A16" s="37" t="s">
        <v>546</v>
      </c>
      <c r="B16" s="37" t="s">
        <v>547</v>
      </c>
      <c r="C16" s="38" t="s">
        <v>105</v>
      </c>
      <c r="D16" s="37">
        <v>0</v>
      </c>
      <c r="E16" s="37">
        <v>13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f t="shared" si="1"/>
        <v>13</v>
      </c>
      <c r="S16" s="39">
        <v>7180</v>
      </c>
      <c r="T16" s="40">
        <f t="shared" si="0"/>
        <v>93340</v>
      </c>
    </row>
    <row r="17" spans="1:20" s="37" customFormat="1" x14ac:dyDescent="0.25">
      <c r="A17" s="37" t="s">
        <v>548</v>
      </c>
      <c r="B17" s="37" t="s">
        <v>549</v>
      </c>
      <c r="C17" s="38" t="s">
        <v>105</v>
      </c>
      <c r="D17" s="37">
        <v>0</v>
      </c>
      <c r="E17" s="37">
        <v>21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f t="shared" si="1"/>
        <v>21</v>
      </c>
      <c r="S17" s="39">
        <v>2026</v>
      </c>
      <c r="T17" s="40">
        <f t="shared" si="0"/>
        <v>42546</v>
      </c>
    </row>
    <row r="18" spans="1:20" s="37" customFormat="1" x14ac:dyDescent="0.25">
      <c r="A18" s="37" t="s">
        <v>550</v>
      </c>
      <c r="B18" s="37" t="s">
        <v>551</v>
      </c>
      <c r="C18" s="38" t="s">
        <v>105</v>
      </c>
      <c r="D18" s="37">
        <v>0</v>
      </c>
      <c r="E18" s="37">
        <v>0</v>
      </c>
      <c r="F18" s="37">
        <v>0</v>
      </c>
      <c r="G18" s="37">
        <v>50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f t="shared" si="1"/>
        <v>50</v>
      </c>
      <c r="S18" s="39">
        <v>2647</v>
      </c>
      <c r="T18" s="40">
        <f t="shared" si="0"/>
        <v>132350</v>
      </c>
    </row>
    <row r="19" spans="1:20" s="37" customFormat="1" x14ac:dyDescent="0.25">
      <c r="A19" s="37" t="s">
        <v>552</v>
      </c>
      <c r="B19" s="37" t="s">
        <v>553</v>
      </c>
      <c r="C19" s="38" t="s">
        <v>120</v>
      </c>
      <c r="D19" s="37">
        <v>0</v>
      </c>
      <c r="E19" s="37">
        <v>6</v>
      </c>
      <c r="F19" s="37">
        <v>0</v>
      </c>
      <c r="G19" s="37">
        <v>9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f t="shared" si="1"/>
        <v>15</v>
      </c>
      <c r="S19" s="39">
        <v>5463</v>
      </c>
      <c r="T19" s="40">
        <f t="shared" si="0"/>
        <v>81945</v>
      </c>
    </row>
    <row r="20" spans="1:20" s="36" customFormat="1" x14ac:dyDescent="0.25">
      <c r="A20" s="28" t="s">
        <v>554</v>
      </c>
      <c r="B20" s="28" t="s">
        <v>356</v>
      </c>
      <c r="C20" s="50" t="s">
        <v>98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37"/>
      <c r="S20" s="51"/>
      <c r="T20" s="52">
        <f t="shared" si="0"/>
        <v>0</v>
      </c>
    </row>
    <row r="21" spans="1:20" s="37" customFormat="1" x14ac:dyDescent="0.25">
      <c r="A21" s="37" t="s">
        <v>555</v>
      </c>
      <c r="B21" s="37" t="s">
        <v>556</v>
      </c>
      <c r="C21" s="38" t="s">
        <v>255</v>
      </c>
      <c r="D21" s="37">
        <v>0</v>
      </c>
      <c r="E21" s="37">
        <v>1</v>
      </c>
      <c r="F21" s="37">
        <v>0</v>
      </c>
      <c r="G21" s="37">
        <v>1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f t="shared" si="1"/>
        <v>2</v>
      </c>
      <c r="S21" s="39">
        <v>21255</v>
      </c>
      <c r="T21" s="40">
        <f t="shared" si="0"/>
        <v>42510</v>
      </c>
    </row>
    <row r="22" spans="1:20" s="36" customFormat="1" x14ac:dyDescent="0.25">
      <c r="A22" s="28" t="s">
        <v>557</v>
      </c>
      <c r="B22" s="28" t="s">
        <v>558</v>
      </c>
      <c r="C22" s="50" t="s">
        <v>98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37"/>
      <c r="S22" s="51"/>
      <c r="T22" s="52">
        <f t="shared" si="0"/>
        <v>0</v>
      </c>
    </row>
    <row r="23" spans="1:20" s="37" customFormat="1" x14ac:dyDescent="0.25">
      <c r="A23" s="37" t="s">
        <v>559</v>
      </c>
      <c r="B23" s="37" t="s">
        <v>560</v>
      </c>
      <c r="C23" s="38" t="s">
        <v>105</v>
      </c>
      <c r="D23" s="37">
        <v>0</v>
      </c>
      <c r="E23" s="37">
        <v>16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f t="shared" si="1"/>
        <v>16</v>
      </c>
      <c r="S23" s="39">
        <v>3456</v>
      </c>
      <c r="T23" s="40">
        <f t="shared" si="0"/>
        <v>55296</v>
      </c>
    </row>
    <row r="24" spans="1:20" s="37" customFormat="1" x14ac:dyDescent="0.25">
      <c r="A24" s="37" t="s">
        <v>561</v>
      </c>
      <c r="B24" s="37" t="s">
        <v>562</v>
      </c>
      <c r="C24" s="38" t="s">
        <v>120</v>
      </c>
      <c r="D24" s="37">
        <v>0</v>
      </c>
      <c r="E24" s="37">
        <v>8</v>
      </c>
      <c r="F24" s="37">
        <v>0</v>
      </c>
      <c r="G24" s="37">
        <v>16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f t="shared" si="1"/>
        <v>24</v>
      </c>
      <c r="S24" s="39">
        <v>7398</v>
      </c>
      <c r="T24" s="40">
        <f t="shared" si="0"/>
        <v>177552</v>
      </c>
    </row>
    <row r="26" spans="1:20" s="41" customFormat="1" x14ac:dyDescent="0.25">
      <c r="B26" s="41" t="s">
        <v>129</v>
      </c>
      <c r="S26" s="42"/>
      <c r="T26" s="43">
        <f>SUM(T2:T24)</f>
        <v>2369231</v>
      </c>
    </row>
    <row r="27" spans="1:20" x14ac:dyDescent="0.25">
      <c r="A27" t="s">
        <v>98</v>
      </c>
      <c r="B27" t="s">
        <v>130</v>
      </c>
      <c r="S27" s="44"/>
    </row>
  </sheetData>
  <pageMargins left="0.6" right="0.4" top="0.6" bottom="0.4" header="0.2" footer="0.2"/>
  <pageSetup paperSize="8" scale="44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20"/>
  <sheetViews>
    <sheetView view="pageBreakPreview" topLeftCell="B1" zoomScale="115" zoomScaleNormal="100" zoomScaleSheetLayoutView="115" workbookViewId="0">
      <selection activeCell="A5" sqref="A5:XFD5"/>
    </sheetView>
  </sheetViews>
  <sheetFormatPr defaultRowHeight="15" x14ac:dyDescent="0.25"/>
  <cols>
    <col min="1" max="1" width="12" customWidth="1"/>
    <col min="2" max="2" width="75" customWidth="1"/>
    <col min="3" max="20" width="20" customWidth="1"/>
  </cols>
  <sheetData>
    <row r="1" spans="1:20" s="28" customFormat="1" ht="90" customHeight="1" x14ac:dyDescent="0.25">
      <c r="A1" s="29" t="s">
        <v>79</v>
      </c>
      <c r="B1" s="28" t="s">
        <v>49</v>
      </c>
      <c r="C1" s="30" t="s">
        <v>80</v>
      </c>
      <c r="D1" s="30" t="s">
        <v>81</v>
      </c>
      <c r="E1" s="30" t="s">
        <v>82</v>
      </c>
      <c r="F1" s="30" t="s">
        <v>83</v>
      </c>
      <c r="G1" s="30" t="s">
        <v>84</v>
      </c>
      <c r="H1" s="30" t="s">
        <v>85</v>
      </c>
      <c r="I1" s="30" t="s">
        <v>86</v>
      </c>
      <c r="J1" s="30" t="s">
        <v>87</v>
      </c>
      <c r="K1" s="30" t="s">
        <v>88</v>
      </c>
      <c r="L1" s="30" t="s">
        <v>89</v>
      </c>
      <c r="M1" s="30" t="s">
        <v>90</v>
      </c>
      <c r="N1" s="30" t="s">
        <v>91</v>
      </c>
      <c r="O1" s="30" t="s">
        <v>92</v>
      </c>
      <c r="P1" s="30" t="s">
        <v>93</v>
      </c>
      <c r="Q1" s="30" t="s">
        <v>94</v>
      </c>
      <c r="R1" s="30" t="s">
        <v>95</v>
      </c>
      <c r="S1" s="31" t="s">
        <v>96</v>
      </c>
      <c r="T1" s="30" t="s">
        <v>97</v>
      </c>
    </row>
    <row r="2" spans="1:20" s="32" customFormat="1" ht="15.75" x14ac:dyDescent="0.25">
      <c r="A2" s="32" t="s">
        <v>48</v>
      </c>
      <c r="B2" s="32" t="s">
        <v>49</v>
      </c>
      <c r="C2" s="33" t="s">
        <v>98</v>
      </c>
      <c r="S2" s="34"/>
      <c r="T2" s="35">
        <f t="shared" ref="T2:T17" si="0">R2*S2</f>
        <v>0</v>
      </c>
    </row>
    <row r="3" spans="1:20" s="36" customFormat="1" x14ac:dyDescent="0.25">
      <c r="A3" s="28" t="s">
        <v>563</v>
      </c>
      <c r="B3" s="28" t="s">
        <v>564</v>
      </c>
      <c r="C3" s="50" t="s">
        <v>98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51"/>
      <c r="T3" s="52">
        <f t="shared" si="0"/>
        <v>0</v>
      </c>
    </row>
    <row r="4" spans="1:20" s="37" customFormat="1" x14ac:dyDescent="0.25">
      <c r="A4" s="37" t="s">
        <v>565</v>
      </c>
      <c r="B4" s="37" t="s">
        <v>566</v>
      </c>
      <c r="C4" s="38" t="s">
        <v>98</v>
      </c>
      <c r="S4" s="39"/>
      <c r="T4" s="40">
        <f t="shared" si="0"/>
        <v>0</v>
      </c>
    </row>
    <row r="5" spans="1:20" s="37" customFormat="1" x14ac:dyDescent="0.25">
      <c r="A5" s="37" t="s">
        <v>567</v>
      </c>
      <c r="B5" s="37" t="s">
        <v>568</v>
      </c>
      <c r="C5" s="38" t="s">
        <v>135</v>
      </c>
      <c r="D5" s="37">
        <v>5</v>
      </c>
      <c r="E5" s="37">
        <v>42</v>
      </c>
      <c r="F5" s="37">
        <v>0</v>
      </c>
      <c r="G5" s="37">
        <v>0</v>
      </c>
      <c r="H5" s="37">
        <v>0</v>
      </c>
      <c r="I5" s="37">
        <v>1562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f>SUM(D5:Q5)</f>
        <v>1609</v>
      </c>
      <c r="S5" s="39">
        <v>80</v>
      </c>
      <c r="T5" s="40">
        <f t="shared" si="0"/>
        <v>128720</v>
      </c>
    </row>
    <row r="6" spans="1:20" s="37" customFormat="1" x14ac:dyDescent="0.25">
      <c r="A6" s="37" t="s">
        <v>569</v>
      </c>
      <c r="B6" s="37" t="s">
        <v>570</v>
      </c>
      <c r="C6" s="38" t="s">
        <v>135</v>
      </c>
      <c r="D6" s="37">
        <v>4</v>
      </c>
      <c r="E6" s="37">
        <v>29</v>
      </c>
      <c r="F6" s="37">
        <v>0</v>
      </c>
      <c r="G6" s="37">
        <v>0</v>
      </c>
      <c r="H6" s="37">
        <v>0</v>
      </c>
      <c r="I6" s="37">
        <v>1093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f t="shared" ref="R6:R17" si="1">SUM(D6:Q6)</f>
        <v>1126</v>
      </c>
      <c r="S6" s="39">
        <v>615</v>
      </c>
      <c r="T6" s="40">
        <f t="shared" si="0"/>
        <v>692490</v>
      </c>
    </row>
    <row r="7" spans="1:20" s="37" customFormat="1" x14ac:dyDescent="0.25">
      <c r="A7" s="37" t="s">
        <v>571</v>
      </c>
      <c r="B7" s="37" t="s">
        <v>572</v>
      </c>
      <c r="C7" s="38" t="s">
        <v>135</v>
      </c>
      <c r="D7" s="37">
        <v>1</v>
      </c>
      <c r="E7" s="37">
        <v>13</v>
      </c>
      <c r="F7" s="37">
        <v>0</v>
      </c>
      <c r="G7" s="37">
        <v>0</v>
      </c>
      <c r="H7" s="37">
        <v>0</v>
      </c>
      <c r="I7" s="37">
        <v>469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f t="shared" si="1"/>
        <v>483</v>
      </c>
      <c r="S7" s="39">
        <v>753</v>
      </c>
      <c r="T7" s="40">
        <f t="shared" si="0"/>
        <v>363699</v>
      </c>
    </row>
    <row r="8" spans="1:20" s="37" customFormat="1" x14ac:dyDescent="0.25">
      <c r="A8" s="37" t="s">
        <v>573</v>
      </c>
      <c r="B8" s="37" t="s">
        <v>574</v>
      </c>
      <c r="C8" s="38" t="s">
        <v>135</v>
      </c>
      <c r="D8" s="37">
        <v>30</v>
      </c>
      <c r="E8" s="37">
        <v>237</v>
      </c>
      <c r="F8" s="37">
        <v>0</v>
      </c>
      <c r="G8" s="37">
        <v>0</v>
      </c>
      <c r="H8" s="37">
        <v>0</v>
      </c>
      <c r="I8" s="37">
        <v>9332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f t="shared" si="1"/>
        <v>9599</v>
      </c>
      <c r="S8" s="39">
        <v>615</v>
      </c>
      <c r="T8" s="40">
        <f t="shared" si="0"/>
        <v>5903385</v>
      </c>
    </row>
    <row r="9" spans="1:20" s="37" customFormat="1" x14ac:dyDescent="0.25">
      <c r="A9" s="37" t="s">
        <v>575</v>
      </c>
      <c r="B9" s="37" t="s">
        <v>576</v>
      </c>
      <c r="C9" s="38" t="s">
        <v>135</v>
      </c>
      <c r="D9" s="37">
        <v>13</v>
      </c>
      <c r="E9" s="37">
        <v>102</v>
      </c>
      <c r="F9" s="37">
        <v>0</v>
      </c>
      <c r="G9" s="37">
        <v>0</v>
      </c>
      <c r="H9" s="37">
        <v>0</v>
      </c>
      <c r="I9" s="37">
        <v>3485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f t="shared" si="1"/>
        <v>3600</v>
      </c>
      <c r="S9" s="39">
        <v>753</v>
      </c>
      <c r="T9" s="40">
        <f t="shared" si="0"/>
        <v>2710800</v>
      </c>
    </row>
    <row r="10" spans="1:20" s="37" customFormat="1" x14ac:dyDescent="0.25">
      <c r="A10" s="37" t="s">
        <v>577</v>
      </c>
      <c r="B10" s="37" t="s">
        <v>578</v>
      </c>
      <c r="C10" s="38" t="s">
        <v>135</v>
      </c>
      <c r="D10" s="37">
        <v>0</v>
      </c>
      <c r="E10" s="37">
        <v>37</v>
      </c>
      <c r="F10" s="37">
        <v>0</v>
      </c>
      <c r="G10" s="37">
        <v>0</v>
      </c>
      <c r="H10" s="37">
        <v>0</v>
      </c>
      <c r="I10" s="37">
        <v>10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f t="shared" si="1"/>
        <v>47</v>
      </c>
      <c r="S10" s="39">
        <v>615</v>
      </c>
      <c r="T10" s="40">
        <f t="shared" si="0"/>
        <v>28905</v>
      </c>
    </row>
    <row r="11" spans="1:20" s="37" customFormat="1" x14ac:dyDescent="0.25">
      <c r="A11" s="37" t="s">
        <v>579</v>
      </c>
      <c r="B11" s="37" t="s">
        <v>580</v>
      </c>
      <c r="C11" s="38" t="s">
        <v>135</v>
      </c>
      <c r="D11" s="37">
        <v>0</v>
      </c>
      <c r="E11" s="37">
        <v>16</v>
      </c>
      <c r="F11" s="37">
        <v>0</v>
      </c>
      <c r="G11" s="37">
        <v>0</v>
      </c>
      <c r="H11" s="37">
        <v>0</v>
      </c>
      <c r="I11" s="37">
        <v>4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f t="shared" si="1"/>
        <v>20</v>
      </c>
      <c r="S11" s="39">
        <v>753</v>
      </c>
      <c r="T11" s="40">
        <f t="shared" si="0"/>
        <v>15060</v>
      </c>
    </row>
    <row r="12" spans="1:20" s="37" customFormat="1" x14ac:dyDescent="0.25">
      <c r="A12" s="37" t="s">
        <v>581</v>
      </c>
      <c r="B12" s="37" t="s">
        <v>582</v>
      </c>
      <c r="C12" s="38" t="s">
        <v>583</v>
      </c>
      <c r="D12" s="37">
        <v>0</v>
      </c>
      <c r="E12" s="37">
        <v>1</v>
      </c>
      <c r="F12" s="37">
        <v>0</v>
      </c>
      <c r="G12" s="37">
        <v>0</v>
      </c>
      <c r="H12" s="37">
        <v>0</v>
      </c>
      <c r="I12" s="37">
        <v>1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f t="shared" si="1"/>
        <v>2</v>
      </c>
      <c r="S12" s="39">
        <v>49</v>
      </c>
      <c r="T12" s="40">
        <f t="shared" si="0"/>
        <v>98</v>
      </c>
    </row>
    <row r="13" spans="1:20" s="37" customFormat="1" x14ac:dyDescent="0.25">
      <c r="A13" s="37" t="s">
        <v>584</v>
      </c>
      <c r="B13" s="37" t="s">
        <v>585</v>
      </c>
      <c r="C13" s="38" t="s">
        <v>583</v>
      </c>
      <c r="D13" s="37">
        <v>0</v>
      </c>
      <c r="E13" s="37">
        <v>1</v>
      </c>
      <c r="F13" s="37">
        <v>0</v>
      </c>
      <c r="G13" s="37">
        <v>1</v>
      </c>
      <c r="H13" s="37">
        <v>0</v>
      </c>
      <c r="I13" s="37">
        <v>40</v>
      </c>
      <c r="J13" s="37">
        <v>0</v>
      </c>
      <c r="K13" s="37">
        <v>2</v>
      </c>
      <c r="L13" s="37">
        <v>0</v>
      </c>
      <c r="M13" s="37">
        <v>0</v>
      </c>
      <c r="N13" s="37">
        <v>2</v>
      </c>
      <c r="O13" s="37">
        <v>0</v>
      </c>
      <c r="P13" s="37">
        <v>0</v>
      </c>
      <c r="Q13" s="37">
        <v>0</v>
      </c>
      <c r="R13" s="37">
        <f t="shared" si="1"/>
        <v>46</v>
      </c>
      <c r="S13" s="39">
        <v>2760</v>
      </c>
      <c r="T13" s="40">
        <f t="shared" si="0"/>
        <v>126960</v>
      </c>
    </row>
    <row r="14" spans="1:20" s="37" customFormat="1" x14ac:dyDescent="0.25">
      <c r="A14" s="37" t="s">
        <v>586</v>
      </c>
      <c r="B14" s="37" t="s">
        <v>587</v>
      </c>
      <c r="C14" s="38" t="s">
        <v>135</v>
      </c>
      <c r="D14" s="37">
        <v>0</v>
      </c>
      <c r="E14" s="37">
        <v>3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f t="shared" si="1"/>
        <v>3</v>
      </c>
      <c r="S14" s="39">
        <v>539</v>
      </c>
      <c r="T14" s="40">
        <f t="shared" si="0"/>
        <v>1617</v>
      </c>
    </row>
    <row r="15" spans="1:20" s="37" customFormat="1" x14ac:dyDescent="0.25">
      <c r="A15" s="37" t="s">
        <v>588</v>
      </c>
      <c r="B15" s="37" t="s">
        <v>589</v>
      </c>
      <c r="C15" s="38" t="s">
        <v>105</v>
      </c>
      <c r="D15" s="37">
        <v>0</v>
      </c>
      <c r="E15" s="37">
        <v>61</v>
      </c>
      <c r="F15" s="37">
        <v>0</v>
      </c>
      <c r="G15" s="37">
        <v>22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f t="shared" si="1"/>
        <v>83</v>
      </c>
      <c r="S15" s="39">
        <v>28</v>
      </c>
      <c r="T15" s="40">
        <f t="shared" si="0"/>
        <v>2324</v>
      </c>
    </row>
    <row r="16" spans="1:20" s="37" customFormat="1" x14ac:dyDescent="0.25">
      <c r="A16" s="37" t="s">
        <v>590</v>
      </c>
      <c r="B16" s="37" t="s">
        <v>591</v>
      </c>
      <c r="C16" s="38" t="s">
        <v>583</v>
      </c>
      <c r="D16" s="37">
        <v>0</v>
      </c>
      <c r="E16" s="37">
        <v>4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f t="shared" si="1"/>
        <v>4</v>
      </c>
      <c r="S16" s="39">
        <v>49</v>
      </c>
      <c r="T16" s="40">
        <f t="shared" si="0"/>
        <v>196</v>
      </c>
    </row>
    <row r="17" spans="1:20" s="37" customFormat="1" x14ac:dyDescent="0.25">
      <c r="A17" s="37" t="s">
        <v>592</v>
      </c>
      <c r="B17" s="37" t="s">
        <v>593</v>
      </c>
      <c r="C17" s="38" t="s">
        <v>583</v>
      </c>
      <c r="D17" s="37">
        <v>0</v>
      </c>
      <c r="E17" s="37">
        <v>1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f t="shared" si="1"/>
        <v>1</v>
      </c>
      <c r="S17" s="39">
        <v>49</v>
      </c>
      <c r="T17" s="40">
        <f t="shared" si="0"/>
        <v>49</v>
      </c>
    </row>
    <row r="19" spans="1:20" s="41" customFormat="1" x14ac:dyDescent="0.25">
      <c r="B19" s="41" t="s">
        <v>129</v>
      </c>
      <c r="S19" s="42"/>
      <c r="T19" s="43">
        <f>SUM(T2:T17)</f>
        <v>9974303</v>
      </c>
    </row>
    <row r="20" spans="1:20" x14ac:dyDescent="0.25">
      <c r="A20" t="s">
        <v>98</v>
      </c>
      <c r="B20" t="s">
        <v>130</v>
      </c>
      <c r="S20" s="44"/>
    </row>
  </sheetData>
  <pageMargins left="0.6" right="0.4" top="0.6" bottom="0.4" header="0.2" footer="0.2"/>
  <pageSetup paperSize="8" scale="44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44"/>
  <sheetViews>
    <sheetView view="pageBreakPreview" zoomScale="115" zoomScaleNormal="80" zoomScaleSheetLayoutView="115" workbookViewId="0">
      <selection activeCell="B40" sqref="B40"/>
    </sheetView>
  </sheetViews>
  <sheetFormatPr defaultRowHeight="15" x14ac:dyDescent="0.25"/>
  <cols>
    <col min="1" max="1" width="12" customWidth="1"/>
    <col min="2" max="2" width="75" customWidth="1"/>
    <col min="3" max="20" width="20" customWidth="1"/>
  </cols>
  <sheetData>
    <row r="1" spans="1:20" s="28" customFormat="1" ht="90" customHeight="1" x14ac:dyDescent="0.25">
      <c r="A1" s="29" t="s">
        <v>79</v>
      </c>
      <c r="B1" s="28" t="s">
        <v>51</v>
      </c>
      <c r="C1" s="30" t="s">
        <v>80</v>
      </c>
      <c r="D1" s="30" t="s">
        <v>81</v>
      </c>
      <c r="E1" s="30" t="s">
        <v>82</v>
      </c>
      <c r="F1" s="30" t="s">
        <v>83</v>
      </c>
      <c r="G1" s="30" t="s">
        <v>84</v>
      </c>
      <c r="H1" s="30" t="s">
        <v>85</v>
      </c>
      <c r="I1" s="30" t="s">
        <v>86</v>
      </c>
      <c r="J1" s="30" t="s">
        <v>87</v>
      </c>
      <c r="K1" s="30" t="s">
        <v>88</v>
      </c>
      <c r="L1" s="30" t="s">
        <v>89</v>
      </c>
      <c r="M1" s="30" t="s">
        <v>90</v>
      </c>
      <c r="N1" s="30" t="s">
        <v>91</v>
      </c>
      <c r="O1" s="30" t="s">
        <v>92</v>
      </c>
      <c r="P1" s="30" t="s">
        <v>93</v>
      </c>
      <c r="Q1" s="30" t="s">
        <v>94</v>
      </c>
      <c r="R1" s="30" t="s">
        <v>95</v>
      </c>
      <c r="S1" s="31" t="s">
        <v>96</v>
      </c>
      <c r="T1" s="30" t="s">
        <v>97</v>
      </c>
    </row>
    <row r="2" spans="1:20" s="32" customFormat="1" ht="15.75" x14ac:dyDescent="0.25">
      <c r="A2" s="32" t="s">
        <v>50</v>
      </c>
      <c r="B2" s="32" t="s">
        <v>51</v>
      </c>
      <c r="C2" s="33" t="s">
        <v>98</v>
      </c>
      <c r="S2" s="34"/>
      <c r="T2" s="35">
        <f t="shared" ref="T2:T41" si="0">R2*S2</f>
        <v>0</v>
      </c>
    </row>
    <row r="3" spans="1:20" s="36" customFormat="1" x14ac:dyDescent="0.25">
      <c r="A3" s="28" t="s">
        <v>594</v>
      </c>
      <c r="B3" s="28" t="s">
        <v>595</v>
      </c>
      <c r="C3" s="50" t="s">
        <v>98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51"/>
      <c r="T3" s="52">
        <f t="shared" si="0"/>
        <v>0</v>
      </c>
    </row>
    <row r="4" spans="1:20" s="37" customFormat="1" x14ac:dyDescent="0.25">
      <c r="A4" s="37" t="s">
        <v>596</v>
      </c>
      <c r="B4" s="37" t="s">
        <v>597</v>
      </c>
      <c r="C4" s="38" t="s">
        <v>255</v>
      </c>
      <c r="D4" s="37">
        <v>1</v>
      </c>
      <c r="E4" s="37">
        <v>0</v>
      </c>
      <c r="F4" s="37">
        <v>0</v>
      </c>
      <c r="G4" s="37">
        <v>0</v>
      </c>
      <c r="H4" s="37">
        <v>0</v>
      </c>
      <c r="I4" s="37">
        <v>0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>
        <v>0</v>
      </c>
      <c r="R4" s="37">
        <f>SUM(D4:Q4)</f>
        <v>1</v>
      </c>
      <c r="S4" s="39">
        <v>3983069</v>
      </c>
      <c r="T4" s="40">
        <f t="shared" si="0"/>
        <v>3983069</v>
      </c>
    </row>
    <row r="5" spans="1:20" s="37" customFormat="1" x14ac:dyDescent="0.25">
      <c r="A5" s="37" t="s">
        <v>598</v>
      </c>
      <c r="B5" s="37" t="s">
        <v>599</v>
      </c>
      <c r="C5" s="38" t="s">
        <v>255</v>
      </c>
      <c r="D5" s="37">
        <v>1</v>
      </c>
      <c r="E5" s="37">
        <v>0</v>
      </c>
      <c r="F5" s="37">
        <v>0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f t="shared" ref="R5:R40" si="1">SUM(D5:Q5)</f>
        <v>1</v>
      </c>
      <c r="S5" s="39">
        <v>60794</v>
      </c>
      <c r="T5" s="40">
        <f t="shared" si="0"/>
        <v>60794</v>
      </c>
    </row>
    <row r="6" spans="1:20" s="36" customFormat="1" x14ac:dyDescent="0.25">
      <c r="A6" s="28" t="s">
        <v>600</v>
      </c>
      <c r="B6" s="28" t="s">
        <v>601</v>
      </c>
      <c r="C6" s="50" t="s">
        <v>98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37"/>
      <c r="S6" s="51"/>
      <c r="T6" s="52">
        <f t="shared" si="0"/>
        <v>0</v>
      </c>
    </row>
    <row r="7" spans="1:20" s="37" customFormat="1" x14ac:dyDescent="0.25">
      <c r="A7" s="37" t="s">
        <v>602</v>
      </c>
      <c r="B7" s="37" t="s">
        <v>603</v>
      </c>
      <c r="C7" s="38" t="s">
        <v>255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f t="shared" si="1"/>
        <v>0</v>
      </c>
      <c r="S7" s="39"/>
      <c r="T7" s="40">
        <f t="shared" si="0"/>
        <v>0</v>
      </c>
    </row>
    <row r="8" spans="1:20" s="37" customFormat="1" x14ac:dyDescent="0.25">
      <c r="A8" s="37" t="s">
        <v>604</v>
      </c>
      <c r="B8" s="37" t="s">
        <v>605</v>
      </c>
      <c r="C8" s="38" t="s">
        <v>135</v>
      </c>
      <c r="D8" s="37">
        <v>22250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f t="shared" si="1"/>
        <v>22250</v>
      </c>
      <c r="S8" s="39">
        <v>626</v>
      </c>
      <c r="T8" s="40">
        <f t="shared" si="0"/>
        <v>13928500</v>
      </c>
    </row>
    <row r="9" spans="1:20" s="37" customFormat="1" x14ac:dyDescent="0.25">
      <c r="A9" s="37" t="s">
        <v>606</v>
      </c>
      <c r="B9" s="37" t="s">
        <v>607</v>
      </c>
      <c r="C9" s="38" t="s">
        <v>152</v>
      </c>
      <c r="D9" s="37">
        <v>5500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f t="shared" si="1"/>
        <v>5500</v>
      </c>
      <c r="S9" s="39">
        <v>152</v>
      </c>
      <c r="T9" s="40">
        <f t="shared" si="0"/>
        <v>836000</v>
      </c>
    </row>
    <row r="10" spans="1:20" s="37" customFormat="1" x14ac:dyDescent="0.25">
      <c r="A10" s="37" t="s">
        <v>608</v>
      </c>
      <c r="B10" s="37" t="s">
        <v>609</v>
      </c>
      <c r="C10" s="38" t="s">
        <v>255</v>
      </c>
      <c r="D10" s="37">
        <v>1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f t="shared" si="1"/>
        <v>1</v>
      </c>
      <c r="S10" s="39">
        <v>888505</v>
      </c>
      <c r="T10" s="40">
        <f t="shared" si="0"/>
        <v>888505</v>
      </c>
    </row>
    <row r="11" spans="1:20" s="37" customFormat="1" x14ac:dyDescent="0.25">
      <c r="A11" s="37" t="s">
        <v>610</v>
      </c>
      <c r="B11" s="37" t="s">
        <v>611</v>
      </c>
      <c r="C11" s="38" t="s">
        <v>255</v>
      </c>
      <c r="D11" s="37">
        <v>1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f t="shared" si="1"/>
        <v>1</v>
      </c>
      <c r="S11" s="39">
        <v>390363</v>
      </c>
      <c r="T11" s="40">
        <f t="shared" si="0"/>
        <v>390363</v>
      </c>
    </row>
    <row r="12" spans="1:20" s="37" customFormat="1" x14ac:dyDescent="0.25">
      <c r="A12" s="37" t="s">
        <v>612</v>
      </c>
      <c r="B12" s="37" t="s">
        <v>613</v>
      </c>
      <c r="C12" s="38" t="s">
        <v>255</v>
      </c>
      <c r="D12" s="37">
        <v>1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f t="shared" si="1"/>
        <v>1</v>
      </c>
      <c r="S12" s="39">
        <v>987493</v>
      </c>
      <c r="T12" s="40">
        <f t="shared" si="0"/>
        <v>987493</v>
      </c>
    </row>
    <row r="13" spans="1:20" s="37" customFormat="1" x14ac:dyDescent="0.25">
      <c r="A13" s="37" t="s">
        <v>614</v>
      </c>
      <c r="B13" s="37" t="s">
        <v>615</v>
      </c>
      <c r="C13" s="38" t="s">
        <v>255</v>
      </c>
      <c r="D13" s="37">
        <v>1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f t="shared" si="1"/>
        <v>1</v>
      </c>
      <c r="S13" s="39">
        <v>934568</v>
      </c>
      <c r="T13" s="40">
        <f t="shared" si="0"/>
        <v>934568</v>
      </c>
    </row>
    <row r="14" spans="1:20" s="37" customFormat="1" x14ac:dyDescent="0.25">
      <c r="A14" s="37" t="s">
        <v>616</v>
      </c>
      <c r="B14" s="37" t="s">
        <v>617</v>
      </c>
      <c r="C14" s="38" t="s">
        <v>255</v>
      </c>
      <c r="D14" s="37">
        <v>1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f t="shared" si="1"/>
        <v>1</v>
      </c>
      <c r="S14" s="39">
        <v>54803</v>
      </c>
      <c r="T14" s="40">
        <f t="shared" si="0"/>
        <v>54803</v>
      </c>
    </row>
    <row r="15" spans="1:20" s="37" customFormat="1" x14ac:dyDescent="0.25">
      <c r="A15" s="37" t="s">
        <v>618</v>
      </c>
      <c r="B15" s="37" t="s">
        <v>619</v>
      </c>
      <c r="C15" s="38" t="s">
        <v>255</v>
      </c>
      <c r="D15" s="37">
        <v>1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f t="shared" si="1"/>
        <v>1</v>
      </c>
      <c r="S15" s="39">
        <v>53217</v>
      </c>
      <c r="T15" s="40">
        <f t="shared" si="0"/>
        <v>53217</v>
      </c>
    </row>
    <row r="16" spans="1:20" s="37" customFormat="1" x14ac:dyDescent="0.25">
      <c r="A16" s="37" t="s">
        <v>620</v>
      </c>
      <c r="B16" s="37" t="s">
        <v>621</v>
      </c>
      <c r="C16" s="38" t="s">
        <v>255</v>
      </c>
      <c r="D16" s="37">
        <v>1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f t="shared" si="1"/>
        <v>1</v>
      </c>
      <c r="S16" s="39">
        <v>651267</v>
      </c>
      <c r="T16" s="40">
        <f t="shared" si="0"/>
        <v>651267</v>
      </c>
    </row>
    <row r="17" spans="1:20" s="37" customFormat="1" x14ac:dyDescent="0.25">
      <c r="A17" s="37" t="s">
        <v>622</v>
      </c>
      <c r="B17" s="37" t="s">
        <v>623</v>
      </c>
      <c r="C17" s="38" t="s">
        <v>255</v>
      </c>
      <c r="D17" s="37">
        <v>1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f t="shared" si="1"/>
        <v>1</v>
      </c>
      <c r="S17" s="39">
        <v>54803</v>
      </c>
      <c r="T17" s="40">
        <f t="shared" si="0"/>
        <v>54803</v>
      </c>
    </row>
    <row r="18" spans="1:20" s="37" customFormat="1" x14ac:dyDescent="0.25">
      <c r="A18" s="37" t="s">
        <v>624</v>
      </c>
      <c r="B18" s="37" t="s">
        <v>625</v>
      </c>
      <c r="C18" s="38" t="s">
        <v>255</v>
      </c>
      <c r="D18" s="37">
        <v>1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f t="shared" si="1"/>
        <v>1</v>
      </c>
      <c r="S18" s="39">
        <v>54803</v>
      </c>
      <c r="T18" s="40">
        <f t="shared" si="0"/>
        <v>54803</v>
      </c>
    </row>
    <row r="19" spans="1:20" s="37" customFormat="1" x14ac:dyDescent="0.25">
      <c r="A19" s="37" t="s">
        <v>626</v>
      </c>
      <c r="B19" s="37" t="s">
        <v>627</v>
      </c>
      <c r="C19" s="38" t="s">
        <v>255</v>
      </c>
      <c r="D19" s="37">
        <v>1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f t="shared" si="1"/>
        <v>1</v>
      </c>
      <c r="S19" s="39">
        <v>486936</v>
      </c>
      <c r="T19" s="40">
        <f t="shared" si="0"/>
        <v>486936</v>
      </c>
    </row>
    <row r="20" spans="1:20" s="37" customFormat="1" x14ac:dyDescent="0.25">
      <c r="A20" s="37" t="s">
        <v>628</v>
      </c>
      <c r="B20" s="37" t="s">
        <v>629</v>
      </c>
      <c r="C20" s="38" t="s">
        <v>255</v>
      </c>
      <c r="D20" s="37">
        <v>1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f t="shared" si="1"/>
        <v>1</v>
      </c>
      <c r="S20" s="39">
        <v>152472</v>
      </c>
      <c r="T20" s="40">
        <f t="shared" si="0"/>
        <v>152472</v>
      </c>
    </row>
    <row r="21" spans="1:20" s="37" customFormat="1" x14ac:dyDescent="0.25">
      <c r="A21" s="37" t="s">
        <v>630</v>
      </c>
      <c r="B21" s="37" t="s">
        <v>631</v>
      </c>
      <c r="C21" s="38" t="s">
        <v>255</v>
      </c>
      <c r="D21" s="37">
        <v>1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f t="shared" si="1"/>
        <v>1</v>
      </c>
      <c r="S21" s="39">
        <v>57399</v>
      </c>
      <c r="T21" s="40">
        <f t="shared" si="0"/>
        <v>57399</v>
      </c>
    </row>
    <row r="22" spans="1:20" s="37" customFormat="1" x14ac:dyDescent="0.25">
      <c r="A22" s="37" t="s">
        <v>632</v>
      </c>
      <c r="B22" s="37" t="s">
        <v>633</v>
      </c>
      <c r="C22" s="38" t="s">
        <v>255</v>
      </c>
      <c r="D22" s="37">
        <v>1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f t="shared" si="1"/>
        <v>1</v>
      </c>
      <c r="S22" s="39">
        <v>57399</v>
      </c>
      <c r="T22" s="40">
        <f t="shared" si="0"/>
        <v>57399</v>
      </c>
    </row>
    <row r="23" spans="1:20" s="37" customFormat="1" x14ac:dyDescent="0.25">
      <c r="A23" s="37" t="s">
        <v>634</v>
      </c>
      <c r="B23" s="37" t="s">
        <v>635</v>
      </c>
      <c r="C23" s="38" t="s">
        <v>255</v>
      </c>
      <c r="D23" s="37">
        <v>1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f t="shared" si="1"/>
        <v>1</v>
      </c>
      <c r="S23" s="39">
        <v>54228</v>
      </c>
      <c r="T23" s="40">
        <f t="shared" si="0"/>
        <v>54228</v>
      </c>
    </row>
    <row r="24" spans="1:20" s="37" customFormat="1" x14ac:dyDescent="0.25">
      <c r="A24" s="37" t="s">
        <v>636</v>
      </c>
      <c r="B24" s="37" t="s">
        <v>637</v>
      </c>
      <c r="C24" s="38" t="s">
        <v>255</v>
      </c>
      <c r="D24" s="37">
        <v>1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f t="shared" si="1"/>
        <v>1</v>
      </c>
      <c r="S24" s="39">
        <v>155159</v>
      </c>
      <c r="T24" s="40">
        <f t="shared" si="0"/>
        <v>155159</v>
      </c>
    </row>
    <row r="25" spans="1:20" s="37" customFormat="1" x14ac:dyDescent="0.25">
      <c r="A25" s="37" t="s">
        <v>638</v>
      </c>
      <c r="B25" s="37" t="s">
        <v>639</v>
      </c>
      <c r="C25" s="38" t="s">
        <v>255</v>
      </c>
      <c r="D25" s="37">
        <v>1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f t="shared" si="1"/>
        <v>1</v>
      </c>
      <c r="S25" s="39">
        <v>472784</v>
      </c>
      <c r="T25" s="40">
        <f t="shared" si="0"/>
        <v>472784</v>
      </c>
    </row>
    <row r="26" spans="1:20" s="37" customFormat="1" x14ac:dyDescent="0.25">
      <c r="A26" s="37" t="s">
        <v>640</v>
      </c>
      <c r="B26" s="37" t="s">
        <v>641</v>
      </c>
      <c r="C26" s="38" t="s">
        <v>255</v>
      </c>
      <c r="D26" s="37">
        <v>1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f t="shared" si="1"/>
        <v>1</v>
      </c>
      <c r="S26" s="39">
        <v>152472</v>
      </c>
      <c r="T26" s="40">
        <f t="shared" si="0"/>
        <v>152472</v>
      </c>
    </row>
    <row r="27" spans="1:20" s="37" customFormat="1" x14ac:dyDescent="0.25">
      <c r="A27" s="37" t="s">
        <v>642</v>
      </c>
      <c r="B27" s="37" t="s">
        <v>643</v>
      </c>
      <c r="C27" s="38" t="s">
        <v>255</v>
      </c>
      <c r="D27" s="37">
        <v>1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f t="shared" si="1"/>
        <v>1</v>
      </c>
      <c r="S27" s="39">
        <v>941578</v>
      </c>
      <c r="T27" s="40">
        <f t="shared" si="0"/>
        <v>941578</v>
      </c>
    </row>
    <row r="28" spans="1:20" s="37" customFormat="1" x14ac:dyDescent="0.25">
      <c r="A28" s="37" t="s">
        <v>644</v>
      </c>
      <c r="B28" s="37" t="s">
        <v>645</v>
      </c>
      <c r="C28" s="38" t="s">
        <v>255</v>
      </c>
      <c r="D28" s="37">
        <v>1</v>
      </c>
      <c r="E28" s="37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f t="shared" si="1"/>
        <v>1</v>
      </c>
      <c r="S28" s="39">
        <v>54228</v>
      </c>
      <c r="T28" s="40">
        <f t="shared" si="0"/>
        <v>54228</v>
      </c>
    </row>
    <row r="29" spans="1:20" s="37" customFormat="1" x14ac:dyDescent="0.25">
      <c r="A29" s="37" t="s">
        <v>646</v>
      </c>
      <c r="B29" s="37" t="s">
        <v>647</v>
      </c>
      <c r="C29" s="38" t="s">
        <v>255</v>
      </c>
      <c r="D29" s="37">
        <v>1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f t="shared" si="1"/>
        <v>1</v>
      </c>
      <c r="S29" s="39">
        <v>54228</v>
      </c>
      <c r="T29" s="40">
        <f t="shared" si="0"/>
        <v>54228</v>
      </c>
    </row>
    <row r="30" spans="1:20" s="37" customFormat="1" x14ac:dyDescent="0.25">
      <c r="A30" s="37" t="s">
        <v>648</v>
      </c>
      <c r="B30" s="37" t="s">
        <v>649</v>
      </c>
      <c r="C30" s="38" t="s">
        <v>255</v>
      </c>
      <c r="D30" s="37">
        <v>1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f t="shared" si="1"/>
        <v>1</v>
      </c>
      <c r="S30" s="39">
        <v>54228</v>
      </c>
      <c r="T30" s="40">
        <f t="shared" si="0"/>
        <v>54228</v>
      </c>
    </row>
    <row r="31" spans="1:20" s="37" customFormat="1" x14ac:dyDescent="0.25">
      <c r="A31" s="37" t="s">
        <v>650</v>
      </c>
      <c r="B31" s="37" t="s">
        <v>651</v>
      </c>
      <c r="C31" s="38" t="s">
        <v>255</v>
      </c>
      <c r="D31" s="37">
        <v>1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f t="shared" si="1"/>
        <v>1</v>
      </c>
      <c r="S31" s="39">
        <v>54228</v>
      </c>
      <c r="T31" s="40">
        <f t="shared" si="0"/>
        <v>54228</v>
      </c>
    </row>
    <row r="32" spans="1:20" s="37" customFormat="1" x14ac:dyDescent="0.25">
      <c r="A32" s="37" t="s">
        <v>652</v>
      </c>
      <c r="B32" s="37" t="s">
        <v>653</v>
      </c>
      <c r="C32" s="38" t="s">
        <v>255</v>
      </c>
      <c r="D32" s="37">
        <v>1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f t="shared" si="1"/>
        <v>1</v>
      </c>
      <c r="S32" s="39">
        <v>160174</v>
      </c>
      <c r="T32" s="40">
        <f t="shared" si="0"/>
        <v>160174</v>
      </c>
    </row>
    <row r="33" spans="1:20" s="37" customFormat="1" x14ac:dyDescent="0.25">
      <c r="A33" s="37" t="s">
        <v>654</v>
      </c>
      <c r="B33" s="37" t="s">
        <v>655</v>
      </c>
      <c r="C33" s="38" t="s">
        <v>255</v>
      </c>
      <c r="D33" s="37">
        <v>1</v>
      </c>
      <c r="E33" s="37">
        <v>0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f t="shared" si="1"/>
        <v>1</v>
      </c>
      <c r="S33" s="39">
        <v>494795</v>
      </c>
      <c r="T33" s="40">
        <f t="shared" si="0"/>
        <v>494795</v>
      </c>
    </row>
    <row r="34" spans="1:20" s="37" customFormat="1" x14ac:dyDescent="0.25">
      <c r="A34" s="37" t="s">
        <v>656</v>
      </c>
      <c r="B34" s="37" t="s">
        <v>657</v>
      </c>
      <c r="C34" s="38" t="s">
        <v>255</v>
      </c>
      <c r="D34" s="37">
        <v>1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f t="shared" si="1"/>
        <v>1</v>
      </c>
      <c r="S34" s="39">
        <v>4066955</v>
      </c>
      <c r="T34" s="40">
        <f t="shared" si="0"/>
        <v>4066955</v>
      </c>
    </row>
    <row r="35" spans="1:20" s="37" customFormat="1" x14ac:dyDescent="0.25">
      <c r="A35" s="37" t="s">
        <v>658</v>
      </c>
      <c r="B35" s="37" t="s">
        <v>659</v>
      </c>
      <c r="C35" s="38" t="s">
        <v>255</v>
      </c>
      <c r="D35" s="37">
        <v>1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f t="shared" si="1"/>
        <v>1</v>
      </c>
      <c r="S35" s="39">
        <v>858855</v>
      </c>
      <c r="T35" s="40">
        <f t="shared" si="0"/>
        <v>858855</v>
      </c>
    </row>
    <row r="36" spans="1:20" s="37" customFormat="1" x14ac:dyDescent="0.25">
      <c r="A36" s="37" t="s">
        <v>660</v>
      </c>
      <c r="B36" s="37" t="s">
        <v>661</v>
      </c>
      <c r="C36" s="38" t="s">
        <v>255</v>
      </c>
      <c r="D36" s="37">
        <v>1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f t="shared" si="1"/>
        <v>1</v>
      </c>
      <c r="S36" s="39">
        <v>109140</v>
      </c>
      <c r="T36" s="40">
        <f t="shared" si="0"/>
        <v>109140</v>
      </c>
    </row>
    <row r="37" spans="1:20" s="36" customFormat="1" x14ac:dyDescent="0.25">
      <c r="A37" s="28" t="s">
        <v>662</v>
      </c>
      <c r="B37" s="28" t="s">
        <v>663</v>
      </c>
      <c r="C37" s="50" t="s">
        <v>98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37"/>
      <c r="S37" s="51"/>
      <c r="T37" s="52">
        <f t="shared" si="0"/>
        <v>0</v>
      </c>
    </row>
    <row r="38" spans="1:20" s="37" customFormat="1" x14ac:dyDescent="0.25">
      <c r="A38" s="37" t="s">
        <v>664</v>
      </c>
      <c r="B38" s="37" t="s">
        <v>663</v>
      </c>
      <c r="C38" s="38" t="s">
        <v>255</v>
      </c>
      <c r="D38" s="37">
        <v>1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f t="shared" si="1"/>
        <v>1</v>
      </c>
      <c r="S38" s="39">
        <v>8765120</v>
      </c>
      <c r="T38" s="40">
        <f t="shared" si="0"/>
        <v>8765120</v>
      </c>
    </row>
    <row r="39" spans="1:20" s="36" customFormat="1" x14ac:dyDescent="0.25">
      <c r="A39" s="28" t="s">
        <v>665</v>
      </c>
      <c r="B39" s="28" t="s">
        <v>666</v>
      </c>
      <c r="C39" s="50" t="s">
        <v>98</v>
      </c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37"/>
      <c r="S39" s="51"/>
      <c r="T39" s="52">
        <f t="shared" si="0"/>
        <v>0</v>
      </c>
    </row>
    <row r="40" spans="1:20" s="37" customFormat="1" x14ac:dyDescent="0.25">
      <c r="A40" s="37" t="s">
        <v>667</v>
      </c>
      <c r="B40" s="37" t="s">
        <v>666</v>
      </c>
      <c r="C40" s="38" t="s">
        <v>255</v>
      </c>
      <c r="D40" s="37">
        <v>1</v>
      </c>
      <c r="E40" s="37">
        <v>0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f t="shared" si="1"/>
        <v>1</v>
      </c>
      <c r="S40" s="39">
        <v>8746692</v>
      </c>
      <c r="T40" s="40">
        <f t="shared" si="0"/>
        <v>8746692</v>
      </c>
    </row>
    <row r="41" spans="1:20" s="36" customFormat="1" x14ac:dyDescent="0.25">
      <c r="A41" s="28" t="s">
        <v>668</v>
      </c>
      <c r="B41" s="28" t="s">
        <v>669</v>
      </c>
      <c r="C41" s="50" t="s">
        <v>98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51"/>
      <c r="T41" s="52">
        <f t="shared" si="0"/>
        <v>0</v>
      </c>
    </row>
    <row r="43" spans="1:20" s="41" customFormat="1" x14ac:dyDescent="0.25">
      <c r="B43" s="41" t="s">
        <v>129</v>
      </c>
      <c r="S43" s="42"/>
      <c r="T43" s="43">
        <f>SUM(T2:T41)</f>
        <v>48827255</v>
      </c>
    </row>
    <row r="44" spans="1:20" x14ac:dyDescent="0.25">
      <c r="A44" t="s">
        <v>98</v>
      </c>
      <c r="B44" t="s">
        <v>130</v>
      </c>
      <c r="S44" s="44"/>
    </row>
  </sheetData>
  <pageMargins left="0.6" right="0.4" top="0.6" bottom="0.4" header="0.2" footer="0.2"/>
  <pageSetup paperSize="8" scale="44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51"/>
  <sheetViews>
    <sheetView view="pageBreakPreview" zoomScaleNormal="80" zoomScaleSheetLayoutView="100" workbookViewId="0">
      <selection activeCell="A17" sqref="A17:XFD17"/>
    </sheetView>
  </sheetViews>
  <sheetFormatPr defaultRowHeight="15" x14ac:dyDescent="0.25"/>
  <cols>
    <col min="1" max="1" width="12" customWidth="1"/>
    <col min="2" max="2" width="75" customWidth="1"/>
    <col min="3" max="20" width="20" customWidth="1"/>
  </cols>
  <sheetData>
    <row r="1" spans="1:20" s="28" customFormat="1" ht="90" customHeight="1" x14ac:dyDescent="0.25">
      <c r="A1" s="29" t="s">
        <v>79</v>
      </c>
      <c r="B1" s="28" t="s">
        <v>53</v>
      </c>
      <c r="C1" s="30" t="s">
        <v>80</v>
      </c>
      <c r="D1" s="30" t="s">
        <v>81</v>
      </c>
      <c r="E1" s="30" t="s">
        <v>82</v>
      </c>
      <c r="F1" s="30" t="s">
        <v>83</v>
      </c>
      <c r="G1" s="30" t="s">
        <v>84</v>
      </c>
      <c r="H1" s="30" t="s">
        <v>85</v>
      </c>
      <c r="I1" s="30" t="s">
        <v>86</v>
      </c>
      <c r="J1" s="30" t="s">
        <v>87</v>
      </c>
      <c r="K1" s="30" t="s">
        <v>88</v>
      </c>
      <c r="L1" s="30" t="s">
        <v>89</v>
      </c>
      <c r="M1" s="30" t="s">
        <v>90</v>
      </c>
      <c r="N1" s="30" t="s">
        <v>91</v>
      </c>
      <c r="O1" s="30" t="s">
        <v>92</v>
      </c>
      <c r="P1" s="30" t="s">
        <v>93</v>
      </c>
      <c r="Q1" s="30" t="s">
        <v>94</v>
      </c>
      <c r="R1" s="30" t="s">
        <v>95</v>
      </c>
      <c r="S1" s="31" t="s">
        <v>96</v>
      </c>
      <c r="T1" s="30" t="s">
        <v>97</v>
      </c>
    </row>
    <row r="2" spans="1:20" s="32" customFormat="1" ht="15.75" x14ac:dyDescent="0.25">
      <c r="A2" s="32" t="s">
        <v>52</v>
      </c>
      <c r="B2" s="32" t="s">
        <v>53</v>
      </c>
      <c r="C2" s="33" t="s">
        <v>98</v>
      </c>
      <c r="S2" s="34"/>
      <c r="T2" s="35">
        <f t="shared" ref="T2:T48" si="0">R2*S2</f>
        <v>0</v>
      </c>
    </row>
    <row r="3" spans="1:20" s="36" customFormat="1" x14ac:dyDescent="0.25">
      <c r="A3" s="28" t="s">
        <v>670</v>
      </c>
      <c r="B3" s="28" t="s">
        <v>671</v>
      </c>
      <c r="C3" s="50" t="s">
        <v>98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51"/>
      <c r="T3" s="52">
        <f t="shared" si="0"/>
        <v>0</v>
      </c>
    </row>
    <row r="4" spans="1:20" s="37" customFormat="1" x14ac:dyDescent="0.25">
      <c r="A4" s="37" t="s">
        <v>672</v>
      </c>
      <c r="B4" s="37" t="s">
        <v>673</v>
      </c>
      <c r="C4" s="38" t="s">
        <v>98</v>
      </c>
      <c r="S4" s="39"/>
      <c r="T4" s="40">
        <f t="shared" si="0"/>
        <v>0</v>
      </c>
    </row>
    <row r="5" spans="1:20" s="37" customFormat="1" x14ac:dyDescent="0.25">
      <c r="A5" s="37" t="s">
        <v>674</v>
      </c>
      <c r="B5" s="37" t="s">
        <v>675</v>
      </c>
      <c r="C5" s="38" t="s">
        <v>676</v>
      </c>
      <c r="D5" s="37">
        <v>750</v>
      </c>
      <c r="E5" s="37">
        <v>0</v>
      </c>
      <c r="F5" s="37">
        <v>0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v>750</v>
      </c>
      <c r="S5" s="39">
        <v>1</v>
      </c>
      <c r="T5" s="40">
        <f t="shared" si="0"/>
        <v>750</v>
      </c>
    </row>
    <row r="6" spans="1:20" s="37" customFormat="1" x14ac:dyDescent="0.25">
      <c r="A6" s="37" t="s">
        <v>677</v>
      </c>
      <c r="B6" s="37" t="s">
        <v>678</v>
      </c>
      <c r="C6" s="38" t="s">
        <v>676</v>
      </c>
      <c r="D6" s="37">
        <v>750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750</v>
      </c>
      <c r="S6" s="39">
        <v>800</v>
      </c>
      <c r="T6" s="40">
        <f t="shared" si="0"/>
        <v>600000</v>
      </c>
    </row>
    <row r="7" spans="1:20" s="37" customFormat="1" x14ac:dyDescent="0.25">
      <c r="A7" s="37" t="s">
        <v>679</v>
      </c>
      <c r="B7" s="37" t="s">
        <v>680</v>
      </c>
      <c r="C7" s="38" t="s">
        <v>676</v>
      </c>
      <c r="D7" s="37">
        <v>750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750</v>
      </c>
      <c r="S7" s="39">
        <v>800</v>
      </c>
      <c r="T7" s="40">
        <f t="shared" si="0"/>
        <v>600000</v>
      </c>
    </row>
    <row r="8" spans="1:20" s="37" customFormat="1" x14ac:dyDescent="0.25">
      <c r="A8" s="37" t="s">
        <v>681</v>
      </c>
      <c r="B8" s="37" t="s">
        <v>682</v>
      </c>
      <c r="C8" s="38" t="s">
        <v>676</v>
      </c>
      <c r="D8" s="37">
        <v>500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500</v>
      </c>
      <c r="S8" s="39">
        <v>1</v>
      </c>
      <c r="T8" s="40">
        <f t="shared" si="0"/>
        <v>500</v>
      </c>
    </row>
    <row r="9" spans="1:20" s="37" customFormat="1" x14ac:dyDescent="0.25">
      <c r="A9" s="37" t="s">
        <v>683</v>
      </c>
      <c r="B9" s="37" t="s">
        <v>684</v>
      </c>
      <c r="C9" s="38" t="s">
        <v>676</v>
      </c>
      <c r="D9" s="37">
        <v>750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750</v>
      </c>
      <c r="S9" s="39">
        <v>1</v>
      </c>
      <c r="T9" s="40">
        <f t="shared" si="0"/>
        <v>750</v>
      </c>
    </row>
    <row r="10" spans="1:20" s="37" customFormat="1" x14ac:dyDescent="0.25">
      <c r="A10" s="37" t="s">
        <v>685</v>
      </c>
      <c r="B10" s="37" t="s">
        <v>686</v>
      </c>
      <c r="C10" s="38" t="s">
        <v>676</v>
      </c>
      <c r="D10" s="37">
        <v>750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750</v>
      </c>
      <c r="S10" s="39">
        <v>1</v>
      </c>
      <c r="T10" s="40">
        <f t="shared" si="0"/>
        <v>750</v>
      </c>
    </row>
    <row r="11" spans="1:20" s="37" customFormat="1" x14ac:dyDescent="0.25">
      <c r="A11" s="37" t="s">
        <v>687</v>
      </c>
      <c r="B11" s="37" t="s">
        <v>688</v>
      </c>
      <c r="C11" s="38" t="s">
        <v>676</v>
      </c>
      <c r="D11" s="37">
        <v>750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750</v>
      </c>
      <c r="S11" s="39">
        <v>900</v>
      </c>
      <c r="T11" s="40">
        <f t="shared" si="0"/>
        <v>675000</v>
      </c>
    </row>
    <row r="12" spans="1:20" s="37" customFormat="1" x14ac:dyDescent="0.25">
      <c r="A12" s="37" t="s">
        <v>689</v>
      </c>
      <c r="B12" s="37" t="s">
        <v>690</v>
      </c>
      <c r="C12" s="38" t="s">
        <v>676</v>
      </c>
      <c r="D12" s="37">
        <v>750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750</v>
      </c>
      <c r="S12" s="39">
        <v>1250</v>
      </c>
      <c r="T12" s="40">
        <f t="shared" si="0"/>
        <v>937500</v>
      </c>
    </row>
    <row r="13" spans="1:20" s="37" customFormat="1" x14ac:dyDescent="0.25">
      <c r="A13" s="37" t="s">
        <v>691</v>
      </c>
      <c r="B13" s="37" t="s">
        <v>692</v>
      </c>
      <c r="C13" s="38" t="s">
        <v>676</v>
      </c>
      <c r="D13" s="37">
        <v>250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250</v>
      </c>
      <c r="S13" s="39">
        <v>1</v>
      </c>
      <c r="T13" s="40">
        <f t="shared" si="0"/>
        <v>250</v>
      </c>
    </row>
    <row r="14" spans="1:20" s="37" customFormat="1" x14ac:dyDescent="0.25">
      <c r="A14" s="37" t="s">
        <v>693</v>
      </c>
      <c r="B14" s="37" t="s">
        <v>694</v>
      </c>
      <c r="C14" s="38" t="s">
        <v>676</v>
      </c>
      <c r="D14" s="37">
        <v>250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250</v>
      </c>
      <c r="S14" s="39">
        <v>800</v>
      </c>
      <c r="T14" s="40">
        <f t="shared" si="0"/>
        <v>200000</v>
      </c>
    </row>
    <row r="15" spans="1:20" s="37" customFormat="1" x14ac:dyDescent="0.25">
      <c r="A15" s="37" t="s">
        <v>695</v>
      </c>
      <c r="B15" s="37" t="s">
        <v>696</v>
      </c>
      <c r="C15" s="38" t="s">
        <v>676</v>
      </c>
      <c r="D15" s="37">
        <v>500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500</v>
      </c>
      <c r="S15" s="39">
        <v>1000</v>
      </c>
      <c r="T15" s="40">
        <f t="shared" si="0"/>
        <v>500000</v>
      </c>
    </row>
    <row r="16" spans="1:20" s="37" customFormat="1" x14ac:dyDescent="0.25">
      <c r="A16" s="37" t="s">
        <v>697</v>
      </c>
      <c r="B16" s="37" t="s">
        <v>698</v>
      </c>
      <c r="C16" s="38" t="s">
        <v>676</v>
      </c>
      <c r="D16" s="37">
        <v>1000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1000</v>
      </c>
      <c r="S16" s="39">
        <v>700</v>
      </c>
      <c r="T16" s="40">
        <f t="shared" si="0"/>
        <v>700000</v>
      </c>
    </row>
    <row r="17" spans="1:20" s="37" customFormat="1" x14ac:dyDescent="0.25">
      <c r="A17" s="37" t="s">
        <v>699</v>
      </c>
      <c r="B17" s="37" t="s">
        <v>700</v>
      </c>
      <c r="C17" s="38" t="s">
        <v>676</v>
      </c>
      <c r="D17" s="37">
        <v>1000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1000</v>
      </c>
      <c r="S17" s="39">
        <v>700</v>
      </c>
      <c r="T17" s="40">
        <f t="shared" si="0"/>
        <v>700000</v>
      </c>
    </row>
    <row r="18" spans="1:20" s="37" customFormat="1" x14ac:dyDescent="0.25">
      <c r="A18" s="37" t="s">
        <v>701</v>
      </c>
      <c r="B18" s="37" t="s">
        <v>702</v>
      </c>
      <c r="C18" s="38" t="s">
        <v>676</v>
      </c>
      <c r="D18" s="37">
        <v>250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250</v>
      </c>
      <c r="S18" s="39">
        <v>1</v>
      </c>
      <c r="T18" s="40">
        <f t="shared" si="0"/>
        <v>250</v>
      </c>
    </row>
    <row r="19" spans="1:20" s="37" customFormat="1" x14ac:dyDescent="0.25">
      <c r="A19" s="37" t="s">
        <v>703</v>
      </c>
      <c r="B19" s="37" t="s">
        <v>704</v>
      </c>
      <c r="C19" s="38" t="s">
        <v>676</v>
      </c>
      <c r="D19" s="37">
        <v>250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250</v>
      </c>
      <c r="S19" s="39">
        <v>1</v>
      </c>
      <c r="T19" s="40">
        <f t="shared" si="0"/>
        <v>250</v>
      </c>
    </row>
    <row r="20" spans="1:20" s="36" customFormat="1" x14ac:dyDescent="0.25">
      <c r="A20" s="28" t="s">
        <v>705</v>
      </c>
      <c r="B20" s="28" t="s">
        <v>706</v>
      </c>
      <c r="C20" s="50" t="s">
        <v>98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51"/>
      <c r="T20" s="52">
        <f t="shared" si="0"/>
        <v>0</v>
      </c>
    </row>
    <row r="21" spans="1:20" s="37" customFormat="1" x14ac:dyDescent="0.25">
      <c r="A21" s="37" t="s">
        <v>707</v>
      </c>
      <c r="B21" s="37" t="s">
        <v>708</v>
      </c>
      <c r="C21" s="38" t="s">
        <v>98</v>
      </c>
      <c r="S21" s="39"/>
      <c r="T21" s="40">
        <f t="shared" si="0"/>
        <v>0</v>
      </c>
    </row>
    <row r="22" spans="1:20" s="37" customFormat="1" x14ac:dyDescent="0.25">
      <c r="A22" s="37" t="s">
        <v>709</v>
      </c>
      <c r="B22" s="37" t="s">
        <v>710</v>
      </c>
      <c r="C22" s="38" t="s">
        <v>711</v>
      </c>
      <c r="D22" s="37">
        <v>4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4</v>
      </c>
      <c r="S22" s="39">
        <v>75000</v>
      </c>
      <c r="T22" s="40">
        <f t="shared" si="0"/>
        <v>300000</v>
      </c>
    </row>
    <row r="23" spans="1:20" s="37" customFormat="1" x14ac:dyDescent="0.25">
      <c r="A23" s="37" t="s">
        <v>712</v>
      </c>
      <c r="B23" s="37" t="s">
        <v>713</v>
      </c>
      <c r="C23" s="38" t="s">
        <v>711</v>
      </c>
      <c r="D23" s="37">
        <v>4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4</v>
      </c>
      <c r="S23" s="39">
        <v>1</v>
      </c>
      <c r="T23" s="40">
        <f t="shared" si="0"/>
        <v>4</v>
      </c>
    </row>
    <row r="24" spans="1:20" s="37" customFormat="1" x14ac:dyDescent="0.25">
      <c r="A24" s="37" t="s">
        <v>714</v>
      </c>
      <c r="B24" s="37" t="s">
        <v>715</v>
      </c>
      <c r="C24" s="38" t="s">
        <v>711</v>
      </c>
      <c r="D24" s="37">
        <v>4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4</v>
      </c>
      <c r="S24" s="39">
        <v>1</v>
      </c>
      <c r="T24" s="40">
        <f t="shared" si="0"/>
        <v>4</v>
      </c>
    </row>
    <row r="25" spans="1:20" s="37" customFormat="1" x14ac:dyDescent="0.25">
      <c r="A25" s="37" t="s">
        <v>716</v>
      </c>
      <c r="B25" s="37" t="s">
        <v>717</v>
      </c>
      <c r="C25" s="38" t="s">
        <v>98</v>
      </c>
      <c r="S25" s="39"/>
      <c r="T25" s="40">
        <f t="shared" si="0"/>
        <v>0</v>
      </c>
    </row>
    <row r="26" spans="1:20" s="37" customFormat="1" x14ac:dyDescent="0.25">
      <c r="A26" s="37" t="s">
        <v>718</v>
      </c>
      <c r="B26" s="37" t="s">
        <v>719</v>
      </c>
      <c r="C26" s="38" t="s">
        <v>515</v>
      </c>
      <c r="D26" s="37">
        <v>250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250</v>
      </c>
      <c r="S26" s="39">
        <v>1300</v>
      </c>
      <c r="T26" s="40">
        <f t="shared" si="0"/>
        <v>325000</v>
      </c>
    </row>
    <row r="27" spans="1:20" s="37" customFormat="1" x14ac:dyDescent="0.25">
      <c r="A27" s="37" t="s">
        <v>720</v>
      </c>
      <c r="B27" s="37" t="s">
        <v>721</v>
      </c>
      <c r="C27" s="38" t="s">
        <v>515</v>
      </c>
      <c r="D27" s="37">
        <v>250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250</v>
      </c>
      <c r="S27" s="39">
        <v>1000</v>
      </c>
      <c r="T27" s="40">
        <f t="shared" si="0"/>
        <v>250000</v>
      </c>
    </row>
    <row r="28" spans="1:20" s="37" customFormat="1" x14ac:dyDescent="0.25">
      <c r="A28" s="37" t="s">
        <v>722</v>
      </c>
      <c r="B28" s="37" t="s">
        <v>723</v>
      </c>
      <c r="C28" s="38" t="s">
        <v>515</v>
      </c>
      <c r="D28" s="37">
        <v>250</v>
      </c>
      <c r="E28" s="37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250</v>
      </c>
      <c r="S28" s="39">
        <v>1</v>
      </c>
      <c r="T28" s="40">
        <f t="shared" si="0"/>
        <v>250</v>
      </c>
    </row>
    <row r="29" spans="1:20" s="37" customFormat="1" x14ac:dyDescent="0.25">
      <c r="A29" s="37" t="s">
        <v>724</v>
      </c>
      <c r="B29" s="37" t="s">
        <v>725</v>
      </c>
      <c r="C29" s="38" t="s">
        <v>515</v>
      </c>
      <c r="D29" s="37">
        <v>250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250</v>
      </c>
      <c r="S29" s="39">
        <v>200</v>
      </c>
      <c r="T29" s="40">
        <f t="shared" si="0"/>
        <v>50000</v>
      </c>
    </row>
    <row r="30" spans="1:20" s="37" customFormat="1" x14ac:dyDescent="0.25">
      <c r="A30" s="37" t="s">
        <v>726</v>
      </c>
      <c r="B30" s="37" t="s">
        <v>727</v>
      </c>
      <c r="C30" s="38" t="s">
        <v>515</v>
      </c>
      <c r="D30" s="37">
        <v>250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250</v>
      </c>
      <c r="S30" s="39">
        <v>1</v>
      </c>
      <c r="T30" s="40">
        <f t="shared" si="0"/>
        <v>250</v>
      </c>
    </row>
    <row r="31" spans="1:20" s="37" customFormat="1" x14ac:dyDescent="0.25">
      <c r="A31" s="37" t="s">
        <v>728</v>
      </c>
      <c r="B31" s="37" t="s">
        <v>729</v>
      </c>
      <c r="C31" s="38" t="s">
        <v>515</v>
      </c>
      <c r="D31" s="37">
        <v>250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250</v>
      </c>
      <c r="S31" s="39">
        <v>1</v>
      </c>
      <c r="T31" s="40">
        <f t="shared" si="0"/>
        <v>250</v>
      </c>
    </row>
    <row r="32" spans="1:20" s="37" customFormat="1" x14ac:dyDescent="0.25">
      <c r="A32" s="37" t="s">
        <v>730</v>
      </c>
      <c r="B32" s="37" t="s">
        <v>731</v>
      </c>
      <c r="C32" s="38" t="s">
        <v>515</v>
      </c>
      <c r="D32" s="37">
        <v>250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250</v>
      </c>
      <c r="S32" s="39">
        <v>3900</v>
      </c>
      <c r="T32" s="40">
        <f t="shared" si="0"/>
        <v>975000</v>
      </c>
    </row>
    <row r="33" spans="1:20" s="36" customFormat="1" x14ac:dyDescent="0.25">
      <c r="A33" s="28" t="s">
        <v>732</v>
      </c>
      <c r="B33" s="28" t="s">
        <v>733</v>
      </c>
      <c r="C33" s="50" t="s">
        <v>98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51"/>
      <c r="T33" s="52">
        <f t="shared" si="0"/>
        <v>0</v>
      </c>
    </row>
    <row r="34" spans="1:20" s="37" customFormat="1" x14ac:dyDescent="0.25">
      <c r="A34" s="37" t="s">
        <v>734</v>
      </c>
      <c r="B34" s="37" t="s">
        <v>735</v>
      </c>
      <c r="C34" s="38" t="s">
        <v>120</v>
      </c>
      <c r="D34" s="37">
        <v>25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25</v>
      </c>
      <c r="S34" s="39">
        <v>5000</v>
      </c>
      <c r="T34" s="40">
        <f t="shared" si="0"/>
        <v>125000</v>
      </c>
    </row>
    <row r="35" spans="1:20" s="37" customFormat="1" x14ac:dyDescent="0.25">
      <c r="A35" s="37" t="s">
        <v>736</v>
      </c>
      <c r="B35" s="37" t="s">
        <v>737</v>
      </c>
      <c r="C35" s="38" t="s">
        <v>711</v>
      </c>
      <c r="D35" s="37">
        <v>25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25</v>
      </c>
      <c r="S35" s="39">
        <v>2400</v>
      </c>
      <c r="T35" s="40">
        <f t="shared" si="0"/>
        <v>60000</v>
      </c>
    </row>
    <row r="36" spans="1:20" s="37" customFormat="1" x14ac:dyDescent="0.25">
      <c r="A36" s="37" t="s">
        <v>738</v>
      </c>
      <c r="B36" s="37" t="s">
        <v>248</v>
      </c>
      <c r="C36" s="38" t="s">
        <v>98</v>
      </c>
      <c r="S36" s="39"/>
      <c r="T36" s="40">
        <f t="shared" si="0"/>
        <v>0</v>
      </c>
    </row>
    <row r="37" spans="1:20" s="37" customFormat="1" x14ac:dyDescent="0.25">
      <c r="A37" s="37" t="s">
        <v>739</v>
      </c>
      <c r="B37" s="37" t="s">
        <v>740</v>
      </c>
      <c r="C37" s="38" t="s">
        <v>105</v>
      </c>
      <c r="D37" s="37">
        <v>250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250</v>
      </c>
      <c r="S37" s="39">
        <v>300</v>
      </c>
      <c r="T37" s="40">
        <f t="shared" si="0"/>
        <v>75000</v>
      </c>
    </row>
    <row r="38" spans="1:20" s="37" customFormat="1" x14ac:dyDescent="0.25">
      <c r="A38" s="37" t="s">
        <v>741</v>
      </c>
      <c r="B38" s="37" t="s">
        <v>742</v>
      </c>
      <c r="C38" s="38" t="s">
        <v>105</v>
      </c>
      <c r="D38" s="37">
        <v>250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250</v>
      </c>
      <c r="S38" s="39">
        <v>300</v>
      </c>
      <c r="T38" s="40">
        <f t="shared" si="0"/>
        <v>75000</v>
      </c>
    </row>
    <row r="39" spans="1:20" s="37" customFormat="1" x14ac:dyDescent="0.25">
      <c r="A39" s="37" t="s">
        <v>743</v>
      </c>
      <c r="B39" s="37" t="s">
        <v>744</v>
      </c>
      <c r="C39" s="38" t="s">
        <v>120</v>
      </c>
      <c r="D39" s="37">
        <v>50</v>
      </c>
      <c r="E39" s="37"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50</v>
      </c>
      <c r="S39" s="39">
        <v>3000</v>
      </c>
      <c r="T39" s="40">
        <f t="shared" si="0"/>
        <v>150000</v>
      </c>
    </row>
    <row r="40" spans="1:20" s="37" customFormat="1" x14ac:dyDescent="0.25">
      <c r="A40" s="37" t="s">
        <v>745</v>
      </c>
      <c r="B40" s="37" t="s">
        <v>746</v>
      </c>
      <c r="C40" s="38" t="s">
        <v>747</v>
      </c>
      <c r="D40" s="37">
        <v>150</v>
      </c>
      <c r="E40" s="37">
        <v>0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150</v>
      </c>
      <c r="S40" s="39">
        <v>1200</v>
      </c>
      <c r="T40" s="40">
        <f t="shared" si="0"/>
        <v>180000</v>
      </c>
    </row>
    <row r="41" spans="1:20" s="37" customFormat="1" x14ac:dyDescent="0.25">
      <c r="A41" s="37" t="s">
        <v>748</v>
      </c>
      <c r="B41" s="37" t="s">
        <v>749</v>
      </c>
      <c r="C41" s="38" t="s">
        <v>120</v>
      </c>
      <c r="D41" s="37">
        <v>25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37">
        <v>0</v>
      </c>
      <c r="P41" s="37">
        <v>0</v>
      </c>
      <c r="Q41" s="37">
        <v>0</v>
      </c>
      <c r="R41" s="37">
        <v>25</v>
      </c>
      <c r="S41" s="39">
        <v>7500</v>
      </c>
      <c r="T41" s="40">
        <f t="shared" si="0"/>
        <v>187500</v>
      </c>
    </row>
    <row r="42" spans="1:20" s="37" customFormat="1" x14ac:dyDescent="0.25">
      <c r="A42" s="37" t="s">
        <v>750</v>
      </c>
      <c r="B42" s="37" t="s">
        <v>751</v>
      </c>
      <c r="C42" s="38" t="s">
        <v>98</v>
      </c>
      <c r="S42" s="39"/>
      <c r="T42" s="40">
        <f t="shared" si="0"/>
        <v>0</v>
      </c>
    </row>
    <row r="43" spans="1:20" s="37" customFormat="1" x14ac:dyDescent="0.25">
      <c r="A43" s="37" t="s">
        <v>752</v>
      </c>
      <c r="B43" s="37" t="s">
        <v>753</v>
      </c>
      <c r="C43" s="38" t="s">
        <v>120</v>
      </c>
      <c r="D43" s="37">
        <v>20</v>
      </c>
      <c r="E43" s="37">
        <v>0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100</v>
      </c>
      <c r="M43" s="37">
        <v>0</v>
      </c>
      <c r="N43" s="37">
        <v>0</v>
      </c>
      <c r="O43" s="37">
        <v>0</v>
      </c>
      <c r="P43" s="37">
        <v>120</v>
      </c>
      <c r="Q43" s="37">
        <v>0</v>
      </c>
      <c r="R43" s="37">
        <v>240</v>
      </c>
      <c r="S43" s="39">
        <v>1200</v>
      </c>
      <c r="T43" s="40">
        <f t="shared" si="0"/>
        <v>288000</v>
      </c>
    </row>
    <row r="44" spans="1:20" s="37" customFormat="1" x14ac:dyDescent="0.25">
      <c r="A44" s="37" t="s">
        <v>754</v>
      </c>
      <c r="B44" s="37" t="s">
        <v>755</v>
      </c>
      <c r="C44" s="38" t="s">
        <v>120</v>
      </c>
      <c r="D44" s="37">
        <v>20</v>
      </c>
      <c r="E44" s="37">
        <v>0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100</v>
      </c>
      <c r="M44" s="37">
        <v>0</v>
      </c>
      <c r="N44" s="37">
        <v>0</v>
      </c>
      <c r="O44" s="37">
        <v>0</v>
      </c>
      <c r="P44" s="37">
        <v>120</v>
      </c>
      <c r="Q44" s="37">
        <v>0</v>
      </c>
      <c r="R44" s="37">
        <v>240</v>
      </c>
      <c r="S44" s="39">
        <v>1200</v>
      </c>
      <c r="T44" s="40">
        <f t="shared" si="0"/>
        <v>288000</v>
      </c>
    </row>
    <row r="45" spans="1:20" s="37" customFormat="1" x14ac:dyDescent="0.25">
      <c r="A45" s="37" t="s">
        <v>756</v>
      </c>
      <c r="B45" s="37" t="s">
        <v>757</v>
      </c>
      <c r="C45" s="38" t="s">
        <v>120</v>
      </c>
      <c r="D45" s="37">
        <v>10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10</v>
      </c>
      <c r="M45" s="37">
        <v>0</v>
      </c>
      <c r="N45" s="37">
        <v>0</v>
      </c>
      <c r="O45" s="37">
        <v>0</v>
      </c>
      <c r="P45" s="37">
        <v>11</v>
      </c>
      <c r="Q45" s="37">
        <v>0</v>
      </c>
      <c r="R45" s="37">
        <v>31</v>
      </c>
      <c r="S45" s="39">
        <v>10000</v>
      </c>
      <c r="T45" s="40">
        <f t="shared" si="0"/>
        <v>310000</v>
      </c>
    </row>
    <row r="46" spans="1:20" s="37" customFormat="1" x14ac:dyDescent="0.25">
      <c r="A46" s="37" t="s">
        <v>758</v>
      </c>
      <c r="B46" s="37" t="s">
        <v>759</v>
      </c>
      <c r="C46" s="38" t="s">
        <v>120</v>
      </c>
      <c r="D46" s="37">
        <v>10</v>
      </c>
      <c r="E46" s="37">
        <v>0</v>
      </c>
      <c r="F46" s="37">
        <v>0</v>
      </c>
      <c r="G46" s="37">
        <v>0</v>
      </c>
      <c r="H46" s="37">
        <v>0</v>
      </c>
      <c r="I46" s="37">
        <v>0</v>
      </c>
      <c r="J46" s="37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10</v>
      </c>
      <c r="S46" s="39">
        <v>15000</v>
      </c>
      <c r="T46" s="40">
        <f t="shared" si="0"/>
        <v>150000</v>
      </c>
    </row>
    <row r="47" spans="1:20" s="37" customFormat="1" x14ac:dyDescent="0.25">
      <c r="A47" s="37" t="s">
        <v>760</v>
      </c>
      <c r="B47" s="37" t="s">
        <v>761</v>
      </c>
      <c r="C47" s="38" t="s">
        <v>120</v>
      </c>
      <c r="D47" s="37">
        <v>25</v>
      </c>
      <c r="E47" s="37">
        <v>0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0</v>
      </c>
      <c r="N47" s="37">
        <v>0</v>
      </c>
      <c r="O47" s="37">
        <v>0</v>
      </c>
      <c r="P47" s="37">
        <v>0</v>
      </c>
      <c r="Q47" s="37">
        <v>0</v>
      </c>
      <c r="R47" s="37">
        <v>25</v>
      </c>
      <c r="S47" s="39">
        <v>3500</v>
      </c>
      <c r="T47" s="40">
        <f t="shared" si="0"/>
        <v>87500</v>
      </c>
    </row>
    <row r="48" spans="1:20" s="37" customFormat="1" x14ac:dyDescent="0.25">
      <c r="A48" s="37" t="s">
        <v>762</v>
      </c>
      <c r="B48" s="37" t="s">
        <v>763</v>
      </c>
      <c r="C48" s="38" t="s">
        <v>135</v>
      </c>
      <c r="D48" s="37">
        <v>0</v>
      </c>
      <c r="E48" s="37">
        <v>50</v>
      </c>
      <c r="F48" s="37">
        <v>0</v>
      </c>
      <c r="G48" s="37">
        <v>0</v>
      </c>
      <c r="H48" s="37">
        <v>0</v>
      </c>
      <c r="I48" s="37">
        <v>50</v>
      </c>
      <c r="J48" s="37">
        <v>0</v>
      </c>
      <c r="K48" s="37">
        <v>0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  <c r="Q48" s="37">
        <v>0</v>
      </c>
      <c r="R48" s="37">
        <v>100</v>
      </c>
      <c r="S48" s="39">
        <v>850</v>
      </c>
      <c r="T48" s="40">
        <f t="shared" si="0"/>
        <v>85000</v>
      </c>
    </row>
    <row r="50" spans="1:20" s="41" customFormat="1" x14ac:dyDescent="0.25">
      <c r="B50" s="41" t="s">
        <v>129</v>
      </c>
      <c r="S50" s="42"/>
      <c r="T50" s="43">
        <f>SUM(T2:T48)</f>
        <v>8877758</v>
      </c>
    </row>
    <row r="51" spans="1:20" x14ac:dyDescent="0.25">
      <c r="A51" t="s">
        <v>98</v>
      </c>
      <c r="B51" t="s">
        <v>130</v>
      </c>
      <c r="S51" s="44"/>
    </row>
  </sheetData>
  <pageMargins left="0.6" right="0.4" top="0.6" bottom="0.4" header="0.2" footer="0.2"/>
  <pageSetup paperSize="8" scale="44" fitToHeight="0" orientation="landscape" horizontalDpi="2400" verticalDpi="2400" r:id="rId1"/>
  <headerFooter>
    <oddFooter>1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252"/>
  <sheetViews>
    <sheetView view="pageBreakPreview" topLeftCell="A165" zoomScale="60" zoomScaleNormal="100" workbookViewId="0">
      <selection activeCell="G175" sqref="G175"/>
    </sheetView>
  </sheetViews>
  <sheetFormatPr defaultRowHeight="15" x14ac:dyDescent="0.25"/>
  <cols>
    <col min="1" max="4" width="5" customWidth="1"/>
    <col min="5" max="5" width="75" customWidth="1"/>
    <col min="6" max="7" width="20" customWidth="1"/>
  </cols>
  <sheetData>
    <row r="1" spans="1:7" s="45" customFormat="1" x14ac:dyDescent="0.25">
      <c r="A1" s="45" t="s">
        <v>764</v>
      </c>
      <c r="B1" s="45" t="s">
        <v>765</v>
      </c>
      <c r="C1" s="45" t="s">
        <v>766</v>
      </c>
      <c r="D1" s="45" t="s">
        <v>767</v>
      </c>
      <c r="E1" s="45" t="s">
        <v>768</v>
      </c>
      <c r="F1" s="45" t="s">
        <v>80</v>
      </c>
      <c r="G1" s="45" t="s">
        <v>769</v>
      </c>
    </row>
    <row r="2" spans="1:7" s="37" customFormat="1" x14ac:dyDescent="0.25">
      <c r="A2" s="37" t="s">
        <v>770</v>
      </c>
      <c r="B2" s="37" t="s">
        <v>770</v>
      </c>
      <c r="C2" s="37" t="s">
        <v>771</v>
      </c>
      <c r="D2" s="37" t="s">
        <v>772</v>
      </c>
      <c r="E2" s="37" t="s">
        <v>104</v>
      </c>
      <c r="F2" s="37" t="s">
        <v>105</v>
      </c>
      <c r="G2" s="37">
        <v>775</v>
      </c>
    </row>
    <row r="3" spans="1:7" s="37" customFormat="1" x14ac:dyDescent="0.25">
      <c r="A3" s="37" t="s">
        <v>770</v>
      </c>
      <c r="B3" s="37" t="s">
        <v>773</v>
      </c>
      <c r="C3" s="37" t="s">
        <v>770</v>
      </c>
      <c r="D3" s="37" t="s">
        <v>774</v>
      </c>
      <c r="E3" s="37" t="s">
        <v>111</v>
      </c>
      <c r="F3" s="37" t="s">
        <v>105</v>
      </c>
      <c r="G3" s="37">
        <v>18000</v>
      </c>
    </row>
    <row r="4" spans="1:7" s="37" customFormat="1" x14ac:dyDescent="0.25">
      <c r="A4" s="37" t="s">
        <v>770</v>
      </c>
      <c r="B4" s="37" t="s">
        <v>771</v>
      </c>
      <c r="C4" s="37" t="s">
        <v>770</v>
      </c>
      <c r="D4" s="37" t="s">
        <v>772</v>
      </c>
      <c r="E4" s="37" t="s">
        <v>115</v>
      </c>
      <c r="F4" s="37" t="s">
        <v>105</v>
      </c>
      <c r="G4" s="37">
        <v>775</v>
      </c>
    </row>
    <row r="5" spans="1:7" s="37" customFormat="1" x14ac:dyDescent="0.25">
      <c r="A5" s="37" t="s">
        <v>770</v>
      </c>
      <c r="B5" s="37" t="s">
        <v>771</v>
      </c>
      <c r="C5" s="37" t="s">
        <v>773</v>
      </c>
      <c r="D5" s="37" t="s">
        <v>772</v>
      </c>
      <c r="E5" s="37" t="s">
        <v>117</v>
      </c>
      <c r="F5" s="37" t="s">
        <v>105</v>
      </c>
      <c r="G5" s="37">
        <v>18000</v>
      </c>
    </row>
    <row r="6" spans="1:7" s="37" customFormat="1" x14ac:dyDescent="0.25">
      <c r="A6" s="37" t="s">
        <v>770</v>
      </c>
      <c r="B6" s="37" t="s">
        <v>771</v>
      </c>
      <c r="C6" s="37" t="s">
        <v>771</v>
      </c>
      <c r="D6" s="37" t="s">
        <v>772</v>
      </c>
      <c r="E6" s="37" t="s">
        <v>119</v>
      </c>
      <c r="F6" s="37" t="s">
        <v>120</v>
      </c>
      <c r="G6" s="37">
        <v>4</v>
      </c>
    </row>
    <row r="7" spans="1:7" s="37" customFormat="1" x14ac:dyDescent="0.25">
      <c r="A7" s="37" t="s">
        <v>770</v>
      </c>
      <c r="B7" s="37" t="s">
        <v>771</v>
      </c>
      <c r="C7" s="37" t="s">
        <v>775</v>
      </c>
      <c r="D7" s="37" t="s">
        <v>772</v>
      </c>
      <c r="E7" s="37" t="s">
        <v>122</v>
      </c>
      <c r="F7" s="37" t="s">
        <v>105</v>
      </c>
      <c r="G7" s="37">
        <v>18800</v>
      </c>
    </row>
    <row r="8" spans="1:7" s="37" customFormat="1" x14ac:dyDescent="0.25">
      <c r="A8" s="37" t="s">
        <v>770</v>
      </c>
      <c r="B8" s="37" t="s">
        <v>771</v>
      </c>
      <c r="C8" s="37" t="s">
        <v>776</v>
      </c>
      <c r="D8" s="37" t="s">
        <v>772</v>
      </c>
      <c r="E8" s="37" t="s">
        <v>124</v>
      </c>
      <c r="F8" s="37" t="s">
        <v>120</v>
      </c>
      <c r="G8" s="37">
        <v>13</v>
      </c>
    </row>
    <row r="9" spans="1:7" s="37" customFormat="1" x14ac:dyDescent="0.25">
      <c r="A9" s="37" t="s">
        <v>770</v>
      </c>
      <c r="B9" s="37" t="s">
        <v>775</v>
      </c>
      <c r="C9" s="37" t="s">
        <v>46</v>
      </c>
      <c r="D9" s="37" t="s">
        <v>772</v>
      </c>
      <c r="E9" s="37" t="s">
        <v>128</v>
      </c>
      <c r="F9" s="37" t="s">
        <v>105</v>
      </c>
      <c r="G9" s="37">
        <v>27200</v>
      </c>
    </row>
    <row r="10" spans="1:7" s="37" customFormat="1" x14ac:dyDescent="0.25">
      <c r="A10" s="37" t="s">
        <v>777</v>
      </c>
      <c r="B10" s="37" t="s">
        <v>774</v>
      </c>
      <c r="C10" s="37" t="s">
        <v>774</v>
      </c>
      <c r="D10" s="37" t="s">
        <v>772</v>
      </c>
      <c r="E10" s="37" t="s">
        <v>134</v>
      </c>
      <c r="F10" s="37" t="s">
        <v>135</v>
      </c>
      <c r="G10" s="37">
        <v>1505</v>
      </c>
    </row>
    <row r="11" spans="1:7" s="37" customFormat="1" x14ac:dyDescent="0.25">
      <c r="A11" s="37" t="s">
        <v>777</v>
      </c>
      <c r="B11" s="37" t="s">
        <v>774</v>
      </c>
      <c r="C11" s="37" t="s">
        <v>770</v>
      </c>
      <c r="D11" s="37" t="s">
        <v>772</v>
      </c>
      <c r="E11" s="37" t="s">
        <v>137</v>
      </c>
      <c r="F11" s="37" t="s">
        <v>135</v>
      </c>
      <c r="G11" s="37">
        <v>271</v>
      </c>
    </row>
    <row r="12" spans="1:7" s="37" customFormat="1" x14ac:dyDescent="0.25">
      <c r="A12" s="37" t="s">
        <v>777</v>
      </c>
      <c r="B12" s="37" t="s">
        <v>774</v>
      </c>
      <c r="C12" s="37" t="s">
        <v>777</v>
      </c>
      <c r="D12" s="37" t="s">
        <v>772</v>
      </c>
      <c r="E12" s="37" t="s">
        <v>139</v>
      </c>
      <c r="F12" s="37" t="s">
        <v>135</v>
      </c>
      <c r="G12" s="37">
        <v>10888</v>
      </c>
    </row>
    <row r="13" spans="1:7" s="37" customFormat="1" x14ac:dyDescent="0.25">
      <c r="A13" s="37" t="s">
        <v>777</v>
      </c>
      <c r="B13" s="37" t="s">
        <v>774</v>
      </c>
      <c r="C13" s="37" t="s">
        <v>773</v>
      </c>
      <c r="D13" s="37" t="s">
        <v>772</v>
      </c>
      <c r="E13" s="37" t="s">
        <v>141</v>
      </c>
      <c r="F13" s="37" t="s">
        <v>135</v>
      </c>
      <c r="G13" s="37">
        <v>244</v>
      </c>
    </row>
    <row r="14" spans="1:7" s="37" customFormat="1" x14ac:dyDescent="0.25">
      <c r="A14" s="37" t="s">
        <v>777</v>
      </c>
      <c r="B14" s="37" t="s">
        <v>774</v>
      </c>
      <c r="C14" s="37" t="s">
        <v>778</v>
      </c>
      <c r="D14" s="37" t="s">
        <v>772</v>
      </c>
      <c r="E14" s="37" t="s">
        <v>143</v>
      </c>
      <c r="F14" s="37" t="s">
        <v>135</v>
      </c>
      <c r="G14" s="37">
        <v>1985</v>
      </c>
    </row>
    <row r="15" spans="1:7" s="37" customFormat="1" x14ac:dyDescent="0.25">
      <c r="A15" s="37" t="s">
        <v>777</v>
      </c>
      <c r="B15" s="37" t="s">
        <v>771</v>
      </c>
      <c r="C15" s="37" t="s">
        <v>774</v>
      </c>
      <c r="D15" s="37" t="s">
        <v>772</v>
      </c>
      <c r="E15" s="37" t="s">
        <v>149</v>
      </c>
      <c r="F15" s="37" t="s">
        <v>120</v>
      </c>
      <c r="G15" s="37">
        <v>12</v>
      </c>
    </row>
    <row r="16" spans="1:7" s="37" customFormat="1" x14ac:dyDescent="0.25">
      <c r="A16" s="37" t="s">
        <v>777</v>
      </c>
      <c r="B16" s="37" t="s">
        <v>771</v>
      </c>
      <c r="C16" s="37" t="s">
        <v>770</v>
      </c>
      <c r="D16" s="37" t="s">
        <v>772</v>
      </c>
      <c r="E16" s="37" t="s">
        <v>151</v>
      </c>
      <c r="F16" s="37" t="s">
        <v>152</v>
      </c>
      <c r="G16" s="37">
        <v>135</v>
      </c>
    </row>
    <row r="17" spans="1:7" s="37" customFormat="1" x14ac:dyDescent="0.25">
      <c r="A17" s="37" t="s">
        <v>777</v>
      </c>
      <c r="B17" s="37" t="s">
        <v>779</v>
      </c>
      <c r="C17" s="37" t="s">
        <v>774</v>
      </c>
      <c r="D17" s="37" t="s">
        <v>772</v>
      </c>
      <c r="E17" s="37" t="s">
        <v>156</v>
      </c>
      <c r="F17" s="37" t="s">
        <v>105</v>
      </c>
      <c r="G17" s="37">
        <v>16548</v>
      </c>
    </row>
    <row r="18" spans="1:7" s="37" customFormat="1" x14ac:dyDescent="0.25">
      <c r="A18" s="37" t="s">
        <v>773</v>
      </c>
      <c r="B18" s="37" t="s">
        <v>774</v>
      </c>
      <c r="C18" s="37" t="s">
        <v>774</v>
      </c>
      <c r="D18" s="37" t="s">
        <v>774</v>
      </c>
      <c r="E18" s="37" t="s">
        <v>162</v>
      </c>
      <c r="F18" s="37" t="s">
        <v>105</v>
      </c>
      <c r="G18" s="37">
        <v>871</v>
      </c>
    </row>
    <row r="19" spans="1:7" s="37" customFormat="1" x14ac:dyDescent="0.25">
      <c r="A19" s="37" t="s">
        <v>773</v>
      </c>
      <c r="B19" s="37" t="s">
        <v>774</v>
      </c>
      <c r="C19" s="37" t="s">
        <v>774</v>
      </c>
      <c r="D19" s="37" t="s">
        <v>778</v>
      </c>
      <c r="E19" s="37" t="s">
        <v>164</v>
      </c>
      <c r="F19" s="37" t="s">
        <v>105</v>
      </c>
      <c r="G19" s="37">
        <v>47</v>
      </c>
    </row>
    <row r="20" spans="1:7" s="37" customFormat="1" x14ac:dyDescent="0.25">
      <c r="A20" s="37" t="s">
        <v>773</v>
      </c>
      <c r="B20" s="37" t="s">
        <v>774</v>
      </c>
      <c r="C20" s="37" t="s">
        <v>770</v>
      </c>
      <c r="D20" s="37" t="s">
        <v>774</v>
      </c>
      <c r="E20" s="37" t="s">
        <v>162</v>
      </c>
      <c r="F20" s="37" t="s">
        <v>105</v>
      </c>
      <c r="G20" s="37">
        <v>1818</v>
      </c>
    </row>
    <row r="21" spans="1:7" s="37" customFormat="1" x14ac:dyDescent="0.25">
      <c r="A21" s="37" t="s">
        <v>773</v>
      </c>
      <c r="B21" s="37" t="s">
        <v>774</v>
      </c>
      <c r="C21" s="37" t="s">
        <v>770</v>
      </c>
      <c r="D21" s="37" t="s">
        <v>780</v>
      </c>
      <c r="E21" s="37" t="s">
        <v>169</v>
      </c>
      <c r="F21" s="37" t="s">
        <v>105</v>
      </c>
      <c r="G21" s="37">
        <v>2067</v>
      </c>
    </row>
    <row r="22" spans="1:7" s="37" customFormat="1" x14ac:dyDescent="0.25">
      <c r="A22" s="37" t="s">
        <v>773</v>
      </c>
      <c r="B22" s="37" t="s">
        <v>774</v>
      </c>
      <c r="C22" s="37" t="s">
        <v>770</v>
      </c>
      <c r="D22" s="37" t="s">
        <v>770</v>
      </c>
      <c r="E22" s="37" t="s">
        <v>171</v>
      </c>
      <c r="F22" s="37" t="s">
        <v>105</v>
      </c>
      <c r="G22" s="37">
        <v>1960</v>
      </c>
    </row>
    <row r="23" spans="1:7" s="37" customFormat="1" x14ac:dyDescent="0.25">
      <c r="A23" s="37" t="s">
        <v>773</v>
      </c>
      <c r="B23" s="37" t="s">
        <v>774</v>
      </c>
      <c r="C23" s="37" t="s">
        <v>770</v>
      </c>
      <c r="D23" s="37" t="s">
        <v>777</v>
      </c>
      <c r="E23" s="37" t="s">
        <v>173</v>
      </c>
      <c r="F23" s="37" t="s">
        <v>105</v>
      </c>
      <c r="G23" s="37">
        <v>1197</v>
      </c>
    </row>
    <row r="24" spans="1:7" s="37" customFormat="1" x14ac:dyDescent="0.25">
      <c r="A24" s="37" t="s">
        <v>773</v>
      </c>
      <c r="B24" s="37" t="s">
        <v>780</v>
      </c>
      <c r="C24" s="37" t="s">
        <v>774</v>
      </c>
      <c r="D24" s="37" t="s">
        <v>774</v>
      </c>
      <c r="E24" s="37" t="s">
        <v>179</v>
      </c>
      <c r="F24" s="37" t="s">
        <v>105</v>
      </c>
      <c r="G24" s="37">
        <v>484</v>
      </c>
    </row>
    <row r="25" spans="1:7" s="37" customFormat="1" x14ac:dyDescent="0.25">
      <c r="A25" s="37" t="s">
        <v>773</v>
      </c>
      <c r="B25" s="37" t="s">
        <v>780</v>
      </c>
      <c r="C25" s="37" t="s">
        <v>774</v>
      </c>
      <c r="D25" s="37" t="s">
        <v>780</v>
      </c>
      <c r="E25" s="37" t="s">
        <v>181</v>
      </c>
      <c r="F25" s="37" t="s">
        <v>105</v>
      </c>
      <c r="G25" s="37">
        <v>203</v>
      </c>
    </row>
    <row r="26" spans="1:7" s="37" customFormat="1" x14ac:dyDescent="0.25">
      <c r="A26" s="37" t="s">
        <v>773</v>
      </c>
      <c r="B26" s="37" t="s">
        <v>780</v>
      </c>
      <c r="C26" s="37" t="s">
        <v>774</v>
      </c>
      <c r="D26" s="37" t="s">
        <v>770</v>
      </c>
      <c r="E26" s="37" t="s">
        <v>183</v>
      </c>
      <c r="F26" s="37" t="s">
        <v>105</v>
      </c>
      <c r="G26" s="37">
        <v>236</v>
      </c>
    </row>
    <row r="27" spans="1:7" s="37" customFormat="1" x14ac:dyDescent="0.25">
      <c r="A27" s="37" t="s">
        <v>773</v>
      </c>
      <c r="B27" s="37" t="s">
        <v>780</v>
      </c>
      <c r="C27" s="37" t="s">
        <v>774</v>
      </c>
      <c r="D27" s="37" t="s">
        <v>777</v>
      </c>
      <c r="E27" s="37" t="s">
        <v>185</v>
      </c>
      <c r="F27" s="37" t="s">
        <v>105</v>
      </c>
      <c r="G27" s="37">
        <v>300</v>
      </c>
    </row>
    <row r="28" spans="1:7" s="37" customFormat="1" x14ac:dyDescent="0.25">
      <c r="A28" s="37" t="s">
        <v>773</v>
      </c>
      <c r="B28" s="37" t="s">
        <v>780</v>
      </c>
      <c r="C28" s="37" t="s">
        <v>774</v>
      </c>
      <c r="D28" s="37" t="s">
        <v>773</v>
      </c>
      <c r="E28" s="37" t="s">
        <v>187</v>
      </c>
      <c r="F28" s="37" t="s">
        <v>105</v>
      </c>
      <c r="G28" s="37">
        <v>13</v>
      </c>
    </row>
    <row r="29" spans="1:7" s="37" customFormat="1" x14ac:dyDescent="0.25">
      <c r="A29" s="37" t="s">
        <v>773</v>
      </c>
      <c r="B29" s="37" t="s">
        <v>780</v>
      </c>
      <c r="C29" s="37" t="s">
        <v>771</v>
      </c>
      <c r="D29" s="37" t="s">
        <v>774</v>
      </c>
      <c r="E29" s="37" t="s">
        <v>191</v>
      </c>
      <c r="F29" s="37" t="s">
        <v>120</v>
      </c>
      <c r="G29" s="37">
        <v>148</v>
      </c>
    </row>
    <row r="30" spans="1:7" s="37" customFormat="1" x14ac:dyDescent="0.25">
      <c r="A30" s="37" t="s">
        <v>773</v>
      </c>
      <c r="B30" s="37" t="s">
        <v>780</v>
      </c>
      <c r="C30" s="37" t="s">
        <v>771</v>
      </c>
      <c r="D30" s="37" t="s">
        <v>780</v>
      </c>
      <c r="E30" s="37" t="s">
        <v>193</v>
      </c>
      <c r="F30" s="37" t="s">
        <v>120</v>
      </c>
      <c r="G30" s="37">
        <v>29</v>
      </c>
    </row>
    <row r="31" spans="1:7" s="37" customFormat="1" x14ac:dyDescent="0.25">
      <c r="A31" s="37" t="s">
        <v>773</v>
      </c>
      <c r="B31" s="37" t="s">
        <v>770</v>
      </c>
      <c r="C31" s="37" t="s">
        <v>774</v>
      </c>
      <c r="D31" s="37" t="s">
        <v>780</v>
      </c>
      <c r="E31" s="37" t="s">
        <v>199</v>
      </c>
      <c r="F31" s="37" t="s">
        <v>120</v>
      </c>
      <c r="G31" s="37">
        <v>157</v>
      </c>
    </row>
    <row r="32" spans="1:7" s="37" customFormat="1" x14ac:dyDescent="0.25">
      <c r="A32" s="37" t="s">
        <v>773</v>
      </c>
      <c r="B32" s="37" t="s">
        <v>770</v>
      </c>
      <c r="C32" s="37" t="s">
        <v>774</v>
      </c>
      <c r="D32" s="37" t="s">
        <v>770</v>
      </c>
      <c r="E32" s="37" t="s">
        <v>201</v>
      </c>
      <c r="F32" s="37" t="s">
        <v>120</v>
      </c>
      <c r="G32" s="37">
        <v>82</v>
      </c>
    </row>
    <row r="33" spans="1:7" s="37" customFormat="1" x14ac:dyDescent="0.25">
      <c r="A33" s="37" t="s">
        <v>773</v>
      </c>
      <c r="B33" s="37" t="s">
        <v>770</v>
      </c>
      <c r="C33" s="37" t="s">
        <v>774</v>
      </c>
      <c r="D33" s="37" t="s">
        <v>778</v>
      </c>
      <c r="E33" s="37" t="s">
        <v>203</v>
      </c>
      <c r="F33" s="37" t="s">
        <v>120</v>
      </c>
      <c r="G33" s="37">
        <v>1</v>
      </c>
    </row>
    <row r="34" spans="1:7" s="37" customFormat="1" x14ac:dyDescent="0.25">
      <c r="A34" s="37" t="s">
        <v>773</v>
      </c>
      <c r="B34" s="37" t="s">
        <v>777</v>
      </c>
      <c r="C34" s="37" t="s">
        <v>774</v>
      </c>
      <c r="D34" s="37" t="s">
        <v>770</v>
      </c>
      <c r="E34" s="37" t="s">
        <v>201</v>
      </c>
      <c r="F34" s="37" t="s">
        <v>120</v>
      </c>
      <c r="G34" s="37">
        <v>9</v>
      </c>
    </row>
    <row r="35" spans="1:7" s="37" customFormat="1" x14ac:dyDescent="0.25">
      <c r="A35" s="37" t="s">
        <v>773</v>
      </c>
      <c r="B35" s="37" t="s">
        <v>777</v>
      </c>
      <c r="C35" s="37" t="s">
        <v>774</v>
      </c>
      <c r="D35" s="37" t="s">
        <v>778</v>
      </c>
      <c r="E35" s="37" t="s">
        <v>210</v>
      </c>
      <c r="F35" s="37" t="s">
        <v>120</v>
      </c>
      <c r="G35" s="37">
        <v>2</v>
      </c>
    </row>
    <row r="36" spans="1:7" s="37" customFormat="1" x14ac:dyDescent="0.25">
      <c r="A36" s="37" t="s">
        <v>773</v>
      </c>
      <c r="B36" s="37" t="s">
        <v>777</v>
      </c>
      <c r="C36" s="37" t="s">
        <v>780</v>
      </c>
      <c r="D36" s="37" t="s">
        <v>780</v>
      </c>
      <c r="E36" s="37" t="s">
        <v>201</v>
      </c>
      <c r="F36" s="37" t="s">
        <v>120</v>
      </c>
      <c r="G36" s="37">
        <v>6</v>
      </c>
    </row>
    <row r="37" spans="1:7" s="37" customFormat="1" x14ac:dyDescent="0.25">
      <c r="A37" s="37" t="s">
        <v>773</v>
      </c>
      <c r="B37" s="37" t="s">
        <v>777</v>
      </c>
      <c r="C37" s="37" t="s">
        <v>780</v>
      </c>
      <c r="D37" s="37" t="s">
        <v>778</v>
      </c>
      <c r="E37" s="37" t="s">
        <v>210</v>
      </c>
      <c r="F37" s="37" t="s">
        <v>120</v>
      </c>
      <c r="G37" s="37">
        <v>4</v>
      </c>
    </row>
    <row r="38" spans="1:7" s="37" customFormat="1" x14ac:dyDescent="0.25">
      <c r="A38" s="37" t="s">
        <v>773</v>
      </c>
      <c r="B38" s="37" t="s">
        <v>771</v>
      </c>
      <c r="C38" s="37" t="s">
        <v>774</v>
      </c>
      <c r="D38" s="37" t="s">
        <v>772</v>
      </c>
      <c r="E38" s="37" t="s">
        <v>218</v>
      </c>
      <c r="F38" s="37" t="s">
        <v>105</v>
      </c>
      <c r="G38" s="37">
        <v>221</v>
      </c>
    </row>
    <row r="39" spans="1:7" s="37" customFormat="1" x14ac:dyDescent="0.25">
      <c r="A39" s="37" t="s">
        <v>773</v>
      </c>
      <c r="B39" s="37" t="s">
        <v>771</v>
      </c>
      <c r="C39" s="37" t="s">
        <v>780</v>
      </c>
      <c r="D39" s="37" t="s">
        <v>772</v>
      </c>
      <c r="E39" s="37" t="s">
        <v>220</v>
      </c>
      <c r="F39" s="37" t="s">
        <v>120</v>
      </c>
      <c r="G39" s="37">
        <v>5</v>
      </c>
    </row>
    <row r="40" spans="1:7" s="37" customFormat="1" x14ac:dyDescent="0.25">
      <c r="A40" s="37" t="s">
        <v>773</v>
      </c>
      <c r="B40" s="37" t="s">
        <v>771</v>
      </c>
      <c r="C40" s="37" t="s">
        <v>770</v>
      </c>
      <c r="D40" s="37" t="s">
        <v>772</v>
      </c>
      <c r="E40" s="37" t="s">
        <v>222</v>
      </c>
      <c r="F40" s="37" t="s">
        <v>120</v>
      </c>
      <c r="G40" s="37">
        <v>11</v>
      </c>
    </row>
    <row r="41" spans="1:7" s="37" customFormat="1" x14ac:dyDescent="0.25">
      <c r="A41" s="37" t="s">
        <v>773</v>
      </c>
      <c r="B41" s="37" t="s">
        <v>775</v>
      </c>
      <c r="C41" s="37" t="s">
        <v>778</v>
      </c>
      <c r="D41" s="37" t="s">
        <v>772</v>
      </c>
      <c r="E41" s="37" t="s">
        <v>226</v>
      </c>
      <c r="F41" s="37" t="s">
        <v>105</v>
      </c>
      <c r="G41" s="37">
        <v>9144</v>
      </c>
    </row>
    <row r="42" spans="1:7" s="37" customFormat="1" x14ac:dyDescent="0.25">
      <c r="A42" s="37" t="s">
        <v>773</v>
      </c>
      <c r="B42" s="37" t="s">
        <v>775</v>
      </c>
      <c r="C42" s="37" t="s">
        <v>781</v>
      </c>
      <c r="D42" s="37" t="s">
        <v>772</v>
      </c>
      <c r="E42" s="37" t="s">
        <v>228</v>
      </c>
      <c r="F42" s="37" t="s">
        <v>105</v>
      </c>
      <c r="G42" s="37">
        <v>280</v>
      </c>
    </row>
    <row r="43" spans="1:7" s="37" customFormat="1" x14ac:dyDescent="0.25">
      <c r="A43" s="37" t="s">
        <v>773</v>
      </c>
      <c r="B43" s="37" t="s">
        <v>782</v>
      </c>
      <c r="C43" s="37" t="s">
        <v>770</v>
      </c>
      <c r="D43" s="37" t="s">
        <v>772</v>
      </c>
      <c r="E43" s="37" t="s">
        <v>232</v>
      </c>
      <c r="F43" s="37" t="s">
        <v>105</v>
      </c>
      <c r="G43" s="37">
        <v>394</v>
      </c>
    </row>
    <row r="44" spans="1:7" s="37" customFormat="1" x14ac:dyDescent="0.25">
      <c r="A44" s="37" t="s">
        <v>773</v>
      </c>
      <c r="B44" s="37" t="s">
        <v>782</v>
      </c>
      <c r="C44" s="37" t="s">
        <v>771</v>
      </c>
      <c r="D44" s="37" t="s">
        <v>774</v>
      </c>
      <c r="E44" s="37" t="s">
        <v>236</v>
      </c>
      <c r="F44" s="37" t="s">
        <v>120</v>
      </c>
      <c r="G44" s="37">
        <v>4</v>
      </c>
    </row>
    <row r="45" spans="1:7" s="37" customFormat="1" x14ac:dyDescent="0.25">
      <c r="A45" s="37" t="s">
        <v>773</v>
      </c>
      <c r="B45" s="37" t="s">
        <v>782</v>
      </c>
      <c r="C45" s="37" t="s">
        <v>771</v>
      </c>
      <c r="D45" s="37" t="s">
        <v>780</v>
      </c>
      <c r="E45" s="37" t="s">
        <v>238</v>
      </c>
      <c r="F45" s="37" t="s">
        <v>120</v>
      </c>
      <c r="G45" s="37">
        <v>14</v>
      </c>
    </row>
    <row r="46" spans="1:7" s="37" customFormat="1" x14ac:dyDescent="0.25">
      <c r="A46" s="37" t="s">
        <v>773</v>
      </c>
      <c r="B46" s="37" t="s">
        <v>782</v>
      </c>
      <c r="C46" s="37" t="s">
        <v>778</v>
      </c>
      <c r="D46" s="37" t="s">
        <v>778</v>
      </c>
      <c r="E46" s="37" t="s">
        <v>242</v>
      </c>
      <c r="F46" s="37" t="s">
        <v>105</v>
      </c>
      <c r="G46" s="37">
        <v>9591</v>
      </c>
    </row>
    <row r="47" spans="1:7" s="37" customFormat="1" x14ac:dyDescent="0.25">
      <c r="A47" s="37" t="s">
        <v>773</v>
      </c>
      <c r="B47" s="37" t="s">
        <v>782</v>
      </c>
      <c r="C47" s="37" t="s">
        <v>778</v>
      </c>
      <c r="D47" s="37" t="s">
        <v>781</v>
      </c>
      <c r="E47" s="37" t="s">
        <v>244</v>
      </c>
      <c r="F47" s="37" t="s">
        <v>105</v>
      </c>
      <c r="G47" s="37">
        <v>221</v>
      </c>
    </row>
    <row r="48" spans="1:7" s="37" customFormat="1" x14ac:dyDescent="0.25">
      <c r="A48" s="37" t="s">
        <v>773</v>
      </c>
      <c r="B48" s="37" t="s">
        <v>782</v>
      </c>
      <c r="C48" s="37" t="s">
        <v>778</v>
      </c>
      <c r="D48" s="37" t="s">
        <v>783</v>
      </c>
      <c r="E48" s="37" t="s">
        <v>246</v>
      </c>
      <c r="F48" s="37" t="s">
        <v>120</v>
      </c>
      <c r="G48" s="37">
        <v>263</v>
      </c>
    </row>
    <row r="49" spans="1:7" s="37" customFormat="1" x14ac:dyDescent="0.25">
      <c r="A49" s="37" t="s">
        <v>773</v>
      </c>
      <c r="B49" s="37" t="s">
        <v>782</v>
      </c>
      <c r="C49" s="37" t="s">
        <v>781</v>
      </c>
      <c r="D49" s="37" t="s">
        <v>772</v>
      </c>
      <c r="E49" s="37" t="s">
        <v>248</v>
      </c>
      <c r="F49" s="37" t="s">
        <v>105</v>
      </c>
      <c r="G49" s="37">
        <v>0</v>
      </c>
    </row>
    <row r="50" spans="1:7" s="37" customFormat="1" x14ac:dyDescent="0.25">
      <c r="A50" s="37" t="s">
        <v>773</v>
      </c>
      <c r="B50" s="37" t="s">
        <v>782</v>
      </c>
      <c r="C50" s="37" t="s">
        <v>781</v>
      </c>
      <c r="D50" s="37" t="s">
        <v>778</v>
      </c>
      <c r="E50" s="37" t="s">
        <v>250</v>
      </c>
      <c r="F50" s="37" t="s">
        <v>105</v>
      </c>
      <c r="G50" s="37">
        <v>9224</v>
      </c>
    </row>
    <row r="51" spans="1:7" s="37" customFormat="1" x14ac:dyDescent="0.25">
      <c r="A51" s="37" t="s">
        <v>773</v>
      </c>
      <c r="B51" s="37" t="s">
        <v>779</v>
      </c>
      <c r="C51" s="37" t="s">
        <v>774</v>
      </c>
      <c r="D51" s="37" t="s">
        <v>772</v>
      </c>
      <c r="E51" s="37" t="s">
        <v>254</v>
      </c>
      <c r="F51" s="37" t="s">
        <v>255</v>
      </c>
      <c r="G51" s="37">
        <v>0</v>
      </c>
    </row>
    <row r="52" spans="1:7" s="37" customFormat="1" x14ac:dyDescent="0.25">
      <c r="A52" s="37" t="s">
        <v>773</v>
      </c>
      <c r="B52" s="37" t="s">
        <v>779</v>
      </c>
      <c r="C52" s="37" t="s">
        <v>774</v>
      </c>
      <c r="D52" s="37" t="s">
        <v>774</v>
      </c>
      <c r="E52" s="37" t="s">
        <v>257</v>
      </c>
      <c r="F52" s="37" t="s">
        <v>255</v>
      </c>
      <c r="G52" s="37">
        <v>1</v>
      </c>
    </row>
    <row r="53" spans="1:7" s="37" customFormat="1" x14ac:dyDescent="0.25">
      <c r="A53" s="37" t="s">
        <v>773</v>
      </c>
      <c r="B53" s="37" t="s">
        <v>779</v>
      </c>
      <c r="C53" s="37" t="s">
        <v>774</v>
      </c>
      <c r="D53" s="37" t="s">
        <v>780</v>
      </c>
      <c r="E53" s="37" t="s">
        <v>259</v>
      </c>
      <c r="F53" s="37" t="s">
        <v>255</v>
      </c>
      <c r="G53" s="37">
        <v>1</v>
      </c>
    </row>
    <row r="54" spans="1:7" s="37" customFormat="1" x14ac:dyDescent="0.25">
      <c r="A54" s="37" t="s">
        <v>773</v>
      </c>
      <c r="B54" s="37" t="s">
        <v>779</v>
      </c>
      <c r="C54" s="37" t="s">
        <v>774</v>
      </c>
      <c r="D54" s="37" t="s">
        <v>770</v>
      </c>
      <c r="E54" s="37" t="s">
        <v>261</v>
      </c>
      <c r="F54" s="37" t="s">
        <v>105</v>
      </c>
      <c r="G54" s="37">
        <v>1</v>
      </c>
    </row>
    <row r="55" spans="1:7" s="37" customFormat="1" x14ac:dyDescent="0.25">
      <c r="A55" s="37" t="s">
        <v>773</v>
      </c>
      <c r="B55" s="37" t="s">
        <v>779</v>
      </c>
      <c r="C55" s="37" t="s">
        <v>780</v>
      </c>
      <c r="D55" s="37" t="s">
        <v>772</v>
      </c>
      <c r="E55" s="37" t="s">
        <v>263</v>
      </c>
      <c r="F55" s="37" t="s">
        <v>255</v>
      </c>
      <c r="G55" s="37">
        <v>1</v>
      </c>
    </row>
    <row r="56" spans="1:7" s="37" customFormat="1" x14ac:dyDescent="0.25">
      <c r="A56" s="37" t="s">
        <v>773</v>
      </c>
      <c r="B56" s="37" t="s">
        <v>779</v>
      </c>
      <c r="C56" s="37" t="s">
        <v>770</v>
      </c>
      <c r="D56" s="37" t="s">
        <v>772</v>
      </c>
      <c r="E56" s="37" t="s">
        <v>265</v>
      </c>
      <c r="F56" s="37" t="s">
        <v>255</v>
      </c>
      <c r="G56" s="37">
        <v>0</v>
      </c>
    </row>
    <row r="57" spans="1:7" s="37" customFormat="1" x14ac:dyDescent="0.25">
      <c r="A57" s="37" t="s">
        <v>773</v>
      </c>
      <c r="B57" s="37" t="s">
        <v>779</v>
      </c>
      <c r="C57" s="37" t="s">
        <v>770</v>
      </c>
      <c r="D57" s="37" t="s">
        <v>774</v>
      </c>
      <c r="E57" s="37" t="s">
        <v>267</v>
      </c>
      <c r="F57" s="37" t="s">
        <v>255</v>
      </c>
      <c r="G57" s="37">
        <v>1</v>
      </c>
    </row>
    <row r="58" spans="1:7" s="37" customFormat="1" x14ac:dyDescent="0.25">
      <c r="A58" s="37" t="s">
        <v>773</v>
      </c>
      <c r="B58" s="37" t="s">
        <v>779</v>
      </c>
      <c r="C58" s="37" t="s">
        <v>770</v>
      </c>
      <c r="D58" s="37" t="s">
        <v>780</v>
      </c>
      <c r="E58" s="37" t="s">
        <v>269</v>
      </c>
      <c r="F58" s="37" t="s">
        <v>255</v>
      </c>
      <c r="G58" s="37">
        <v>1</v>
      </c>
    </row>
    <row r="59" spans="1:7" s="37" customFormat="1" x14ac:dyDescent="0.25">
      <c r="A59" s="37" t="s">
        <v>773</v>
      </c>
      <c r="B59" s="37" t="s">
        <v>779</v>
      </c>
      <c r="C59" s="37" t="s">
        <v>770</v>
      </c>
      <c r="D59" s="37" t="s">
        <v>770</v>
      </c>
      <c r="E59" s="37" t="s">
        <v>261</v>
      </c>
      <c r="F59" s="37" t="s">
        <v>255</v>
      </c>
      <c r="G59" s="37">
        <v>1</v>
      </c>
    </row>
    <row r="60" spans="1:7" s="37" customFormat="1" x14ac:dyDescent="0.25">
      <c r="A60" s="37" t="s">
        <v>773</v>
      </c>
      <c r="B60" s="37" t="s">
        <v>779</v>
      </c>
      <c r="C60" s="37" t="s">
        <v>777</v>
      </c>
      <c r="D60" s="37" t="s">
        <v>772</v>
      </c>
      <c r="E60" s="37" t="s">
        <v>272</v>
      </c>
      <c r="F60" s="37" t="s">
        <v>255</v>
      </c>
      <c r="G60" s="37">
        <v>0</v>
      </c>
    </row>
    <row r="61" spans="1:7" s="37" customFormat="1" x14ac:dyDescent="0.25">
      <c r="A61" s="37" t="s">
        <v>773</v>
      </c>
      <c r="B61" s="37" t="s">
        <v>779</v>
      </c>
      <c r="C61" s="37" t="s">
        <v>777</v>
      </c>
      <c r="D61" s="37" t="s">
        <v>774</v>
      </c>
      <c r="E61" s="37" t="s">
        <v>267</v>
      </c>
      <c r="F61" s="37" t="s">
        <v>255</v>
      </c>
      <c r="G61" s="37">
        <v>1</v>
      </c>
    </row>
    <row r="62" spans="1:7" s="37" customFormat="1" x14ac:dyDescent="0.25">
      <c r="A62" s="37" t="s">
        <v>773</v>
      </c>
      <c r="B62" s="37" t="s">
        <v>779</v>
      </c>
      <c r="C62" s="37" t="s">
        <v>777</v>
      </c>
      <c r="D62" s="37" t="s">
        <v>780</v>
      </c>
      <c r="E62" s="37" t="s">
        <v>275</v>
      </c>
      <c r="F62" s="37" t="s">
        <v>255</v>
      </c>
      <c r="G62" s="37">
        <v>1</v>
      </c>
    </row>
    <row r="63" spans="1:7" s="37" customFormat="1" x14ac:dyDescent="0.25">
      <c r="A63" s="37" t="s">
        <v>773</v>
      </c>
      <c r="B63" s="37" t="s">
        <v>779</v>
      </c>
      <c r="C63" s="37" t="s">
        <v>773</v>
      </c>
      <c r="D63" s="37" t="s">
        <v>772</v>
      </c>
      <c r="E63" s="37" t="s">
        <v>277</v>
      </c>
      <c r="F63" s="37" t="s">
        <v>255</v>
      </c>
      <c r="G63" s="37">
        <v>0</v>
      </c>
    </row>
    <row r="64" spans="1:7" s="37" customFormat="1" x14ac:dyDescent="0.25">
      <c r="A64" s="37" t="s">
        <v>773</v>
      </c>
      <c r="B64" s="37" t="s">
        <v>779</v>
      </c>
      <c r="C64" s="37" t="s">
        <v>773</v>
      </c>
      <c r="D64" s="37" t="s">
        <v>774</v>
      </c>
      <c r="E64" s="37" t="s">
        <v>267</v>
      </c>
      <c r="F64" s="37" t="s">
        <v>255</v>
      </c>
      <c r="G64" s="37">
        <v>1</v>
      </c>
    </row>
    <row r="65" spans="1:7" s="37" customFormat="1" x14ac:dyDescent="0.25">
      <c r="A65" s="37" t="s">
        <v>773</v>
      </c>
      <c r="B65" s="37" t="s">
        <v>779</v>
      </c>
      <c r="C65" s="37" t="s">
        <v>773</v>
      </c>
      <c r="D65" s="37" t="s">
        <v>780</v>
      </c>
      <c r="E65" s="37" t="s">
        <v>269</v>
      </c>
      <c r="F65" s="37" t="s">
        <v>255</v>
      </c>
      <c r="G65" s="37">
        <v>1</v>
      </c>
    </row>
    <row r="66" spans="1:7" s="37" customFormat="1" x14ac:dyDescent="0.25">
      <c r="A66" s="37" t="s">
        <v>773</v>
      </c>
      <c r="B66" s="37" t="s">
        <v>779</v>
      </c>
      <c r="C66" s="37" t="s">
        <v>773</v>
      </c>
      <c r="D66" s="37" t="s">
        <v>770</v>
      </c>
      <c r="E66" s="37" t="s">
        <v>261</v>
      </c>
      <c r="F66" s="37" t="s">
        <v>105</v>
      </c>
      <c r="G66" s="37">
        <v>3</v>
      </c>
    </row>
    <row r="67" spans="1:7" s="37" customFormat="1" x14ac:dyDescent="0.25">
      <c r="A67" s="37" t="s">
        <v>773</v>
      </c>
      <c r="B67" s="37" t="s">
        <v>779</v>
      </c>
      <c r="C67" s="37" t="s">
        <v>771</v>
      </c>
      <c r="D67" s="37" t="s">
        <v>772</v>
      </c>
      <c r="E67" s="37" t="s">
        <v>282</v>
      </c>
      <c r="F67" s="37" t="s">
        <v>255</v>
      </c>
      <c r="G67" s="37">
        <v>0</v>
      </c>
    </row>
    <row r="68" spans="1:7" s="37" customFormat="1" x14ac:dyDescent="0.25">
      <c r="A68" s="37" t="s">
        <v>773</v>
      </c>
      <c r="B68" s="37" t="s">
        <v>779</v>
      </c>
      <c r="C68" s="37" t="s">
        <v>771</v>
      </c>
      <c r="D68" s="37" t="s">
        <v>774</v>
      </c>
      <c r="E68" s="37" t="s">
        <v>284</v>
      </c>
      <c r="F68" s="37" t="s">
        <v>255</v>
      </c>
      <c r="G68" s="37">
        <v>1</v>
      </c>
    </row>
    <row r="69" spans="1:7" s="37" customFormat="1" x14ac:dyDescent="0.25">
      <c r="A69" s="37" t="s">
        <v>773</v>
      </c>
      <c r="B69" s="37" t="s">
        <v>779</v>
      </c>
      <c r="C69" s="37" t="s">
        <v>771</v>
      </c>
      <c r="D69" s="37" t="s">
        <v>780</v>
      </c>
      <c r="E69" s="37" t="s">
        <v>286</v>
      </c>
      <c r="F69" s="37" t="s">
        <v>105</v>
      </c>
      <c r="G69" s="37">
        <v>2</v>
      </c>
    </row>
    <row r="70" spans="1:7" s="37" customFormat="1" x14ac:dyDescent="0.25">
      <c r="A70" s="37" t="s">
        <v>773</v>
      </c>
      <c r="B70" s="37" t="s">
        <v>779</v>
      </c>
      <c r="C70" s="37" t="s">
        <v>775</v>
      </c>
      <c r="D70" s="37" t="s">
        <v>772</v>
      </c>
      <c r="E70" s="37" t="s">
        <v>288</v>
      </c>
      <c r="F70" s="37" t="s">
        <v>105</v>
      </c>
      <c r="G70" s="37">
        <v>2</v>
      </c>
    </row>
    <row r="71" spans="1:7" s="37" customFormat="1" x14ac:dyDescent="0.25">
      <c r="A71" s="37" t="s">
        <v>773</v>
      </c>
      <c r="B71" s="37" t="s">
        <v>779</v>
      </c>
      <c r="C71" s="37" t="s">
        <v>775</v>
      </c>
      <c r="D71" s="37" t="s">
        <v>774</v>
      </c>
      <c r="E71" s="37" t="s">
        <v>290</v>
      </c>
      <c r="F71" s="37" t="s">
        <v>105</v>
      </c>
      <c r="G71" s="37">
        <v>40</v>
      </c>
    </row>
    <row r="72" spans="1:7" s="37" customFormat="1" x14ac:dyDescent="0.25">
      <c r="A72" s="37" t="s">
        <v>773</v>
      </c>
      <c r="B72" s="37" t="s">
        <v>779</v>
      </c>
      <c r="C72" s="37" t="s">
        <v>782</v>
      </c>
      <c r="D72" s="37" t="s">
        <v>772</v>
      </c>
      <c r="E72" s="37" t="s">
        <v>292</v>
      </c>
      <c r="F72" s="37" t="s">
        <v>255</v>
      </c>
      <c r="G72" s="37">
        <v>0</v>
      </c>
    </row>
    <row r="73" spans="1:7" s="37" customFormat="1" x14ac:dyDescent="0.25">
      <c r="A73" s="37" t="s">
        <v>773</v>
      </c>
      <c r="B73" s="37" t="s">
        <v>779</v>
      </c>
      <c r="C73" s="37" t="s">
        <v>782</v>
      </c>
      <c r="D73" s="37" t="s">
        <v>774</v>
      </c>
      <c r="E73" s="37" t="s">
        <v>267</v>
      </c>
      <c r="F73" s="37" t="s">
        <v>255</v>
      </c>
      <c r="G73" s="37">
        <v>1</v>
      </c>
    </row>
    <row r="74" spans="1:7" s="37" customFormat="1" x14ac:dyDescent="0.25">
      <c r="A74" s="37" t="s">
        <v>773</v>
      </c>
      <c r="B74" s="37" t="s">
        <v>779</v>
      </c>
      <c r="C74" s="37" t="s">
        <v>782</v>
      </c>
      <c r="D74" s="37" t="s">
        <v>780</v>
      </c>
      <c r="E74" s="37" t="s">
        <v>269</v>
      </c>
      <c r="F74" s="37" t="s">
        <v>255</v>
      </c>
      <c r="G74" s="37">
        <v>1</v>
      </c>
    </row>
    <row r="75" spans="1:7" s="37" customFormat="1" x14ac:dyDescent="0.25">
      <c r="A75" s="37" t="s">
        <v>773</v>
      </c>
      <c r="B75" s="37" t="s">
        <v>779</v>
      </c>
      <c r="C75" s="37" t="s">
        <v>776</v>
      </c>
      <c r="D75" s="37" t="s">
        <v>772</v>
      </c>
      <c r="E75" s="37" t="s">
        <v>296</v>
      </c>
      <c r="F75" s="37" t="s">
        <v>255</v>
      </c>
      <c r="G75" s="37">
        <v>1</v>
      </c>
    </row>
    <row r="76" spans="1:7" s="37" customFormat="1" x14ac:dyDescent="0.25">
      <c r="A76" s="37" t="s">
        <v>773</v>
      </c>
      <c r="B76" s="37" t="s">
        <v>779</v>
      </c>
      <c r="C76" s="37" t="s">
        <v>44</v>
      </c>
      <c r="D76" s="37" t="s">
        <v>772</v>
      </c>
      <c r="E76" s="37" t="s">
        <v>298</v>
      </c>
      <c r="F76" s="37" t="s">
        <v>255</v>
      </c>
      <c r="G76" s="37">
        <v>1</v>
      </c>
    </row>
    <row r="77" spans="1:7" s="37" customFormat="1" x14ac:dyDescent="0.25">
      <c r="A77" s="37" t="s">
        <v>773</v>
      </c>
      <c r="B77" s="37" t="s">
        <v>779</v>
      </c>
      <c r="C77" s="37" t="s">
        <v>784</v>
      </c>
      <c r="D77" s="37" t="s">
        <v>772</v>
      </c>
      <c r="E77" s="37" t="s">
        <v>300</v>
      </c>
      <c r="F77" s="37" t="s">
        <v>105</v>
      </c>
      <c r="G77" s="37">
        <v>63</v>
      </c>
    </row>
    <row r="78" spans="1:7" s="37" customFormat="1" x14ac:dyDescent="0.25">
      <c r="A78" s="37" t="s">
        <v>771</v>
      </c>
      <c r="B78" s="37" t="s">
        <v>780</v>
      </c>
      <c r="C78" s="37" t="s">
        <v>780</v>
      </c>
      <c r="D78" s="37" t="s">
        <v>772</v>
      </c>
      <c r="E78" s="37" t="s">
        <v>304</v>
      </c>
      <c r="F78" s="37" t="s">
        <v>105</v>
      </c>
      <c r="G78" s="37">
        <v>490</v>
      </c>
    </row>
    <row r="79" spans="1:7" s="37" customFormat="1" x14ac:dyDescent="0.25">
      <c r="A79" s="37" t="s">
        <v>771</v>
      </c>
      <c r="B79" s="37" t="s">
        <v>780</v>
      </c>
      <c r="C79" s="37" t="s">
        <v>777</v>
      </c>
      <c r="D79" s="37" t="s">
        <v>774</v>
      </c>
      <c r="E79" s="37" t="s">
        <v>308</v>
      </c>
      <c r="F79" s="37" t="s">
        <v>105</v>
      </c>
      <c r="G79" s="37">
        <v>9620</v>
      </c>
    </row>
    <row r="80" spans="1:7" s="37" customFormat="1" x14ac:dyDescent="0.25">
      <c r="A80" s="37" t="s">
        <v>771</v>
      </c>
      <c r="B80" s="37" t="s">
        <v>780</v>
      </c>
      <c r="C80" s="37" t="s">
        <v>771</v>
      </c>
      <c r="D80" s="37" t="s">
        <v>772</v>
      </c>
      <c r="E80" s="37" t="s">
        <v>310</v>
      </c>
      <c r="F80" s="37" t="s">
        <v>105</v>
      </c>
      <c r="G80" s="37">
        <v>490</v>
      </c>
    </row>
    <row r="81" spans="1:7" s="37" customFormat="1" x14ac:dyDescent="0.25">
      <c r="A81" s="37" t="s">
        <v>771</v>
      </c>
      <c r="B81" s="37" t="s">
        <v>780</v>
      </c>
      <c r="C81" s="37" t="s">
        <v>782</v>
      </c>
      <c r="D81" s="37" t="s">
        <v>774</v>
      </c>
      <c r="E81" s="37" t="s">
        <v>308</v>
      </c>
      <c r="F81" s="37" t="s">
        <v>105</v>
      </c>
      <c r="G81" s="37">
        <v>1792</v>
      </c>
    </row>
    <row r="82" spans="1:7" s="37" customFormat="1" x14ac:dyDescent="0.25">
      <c r="A82" s="37" t="s">
        <v>771</v>
      </c>
      <c r="B82" s="37" t="s">
        <v>770</v>
      </c>
      <c r="C82" s="37" t="s">
        <v>774</v>
      </c>
      <c r="D82" s="37" t="s">
        <v>777</v>
      </c>
      <c r="E82" s="37" t="s">
        <v>319</v>
      </c>
      <c r="F82" s="37" t="s">
        <v>105</v>
      </c>
      <c r="G82" s="37">
        <v>9620</v>
      </c>
    </row>
    <row r="83" spans="1:7" s="37" customFormat="1" x14ac:dyDescent="0.25">
      <c r="A83" s="37" t="s">
        <v>771</v>
      </c>
      <c r="B83" s="37" t="s">
        <v>777</v>
      </c>
      <c r="C83" s="37" t="s">
        <v>774</v>
      </c>
      <c r="D83" s="37" t="s">
        <v>771</v>
      </c>
      <c r="E83" s="37" t="s">
        <v>325</v>
      </c>
      <c r="F83" s="37" t="s">
        <v>105</v>
      </c>
      <c r="G83" s="37">
        <v>1792</v>
      </c>
    </row>
    <row r="84" spans="1:7" s="37" customFormat="1" x14ac:dyDescent="0.25">
      <c r="A84" s="37" t="s">
        <v>771</v>
      </c>
      <c r="B84" s="37" t="s">
        <v>777</v>
      </c>
      <c r="C84" s="37" t="s">
        <v>780</v>
      </c>
      <c r="D84" s="37" t="s">
        <v>772</v>
      </c>
      <c r="E84" s="37" t="s">
        <v>327</v>
      </c>
      <c r="F84" s="37" t="s">
        <v>105</v>
      </c>
      <c r="G84" s="37">
        <v>4</v>
      </c>
    </row>
    <row r="85" spans="1:7" s="37" customFormat="1" x14ac:dyDescent="0.25">
      <c r="A85" s="37" t="s">
        <v>771</v>
      </c>
      <c r="B85" s="37" t="s">
        <v>777</v>
      </c>
      <c r="C85" s="37" t="s">
        <v>770</v>
      </c>
      <c r="D85" s="37" t="s">
        <v>771</v>
      </c>
      <c r="E85" s="37" t="s">
        <v>325</v>
      </c>
      <c r="F85" s="37" t="s">
        <v>105</v>
      </c>
      <c r="G85" s="37">
        <v>2042</v>
      </c>
    </row>
    <row r="86" spans="1:7" s="37" customFormat="1" x14ac:dyDescent="0.25">
      <c r="A86" s="37" t="s">
        <v>771</v>
      </c>
      <c r="B86" s="37" t="s">
        <v>782</v>
      </c>
      <c r="C86" s="37" t="s">
        <v>774</v>
      </c>
      <c r="D86" s="37" t="s">
        <v>772</v>
      </c>
      <c r="E86" s="37" t="s">
        <v>334</v>
      </c>
      <c r="F86" s="37" t="s">
        <v>105</v>
      </c>
      <c r="G86" s="37">
        <v>7828</v>
      </c>
    </row>
    <row r="87" spans="1:7" s="37" customFormat="1" x14ac:dyDescent="0.25">
      <c r="A87" s="37" t="s">
        <v>782</v>
      </c>
      <c r="B87" s="37" t="s">
        <v>774</v>
      </c>
      <c r="C87" s="37" t="s">
        <v>774</v>
      </c>
      <c r="D87" s="37" t="s">
        <v>772</v>
      </c>
      <c r="E87" s="37" t="s">
        <v>338</v>
      </c>
      <c r="F87" s="37" t="s">
        <v>255</v>
      </c>
      <c r="G87" s="37">
        <v>1</v>
      </c>
    </row>
    <row r="88" spans="1:7" s="37" customFormat="1" x14ac:dyDescent="0.25">
      <c r="A88" s="37" t="s">
        <v>782</v>
      </c>
      <c r="B88" s="37" t="s">
        <v>774</v>
      </c>
      <c r="C88" s="37" t="s">
        <v>770</v>
      </c>
      <c r="D88" s="37" t="s">
        <v>772</v>
      </c>
      <c r="E88" s="37" t="s">
        <v>340</v>
      </c>
      <c r="F88" s="37" t="s">
        <v>152</v>
      </c>
      <c r="G88" s="37">
        <v>701</v>
      </c>
    </row>
    <row r="89" spans="1:7" s="37" customFormat="1" x14ac:dyDescent="0.25">
      <c r="A89" s="37" t="s">
        <v>782</v>
      </c>
      <c r="B89" s="37" t="s">
        <v>774</v>
      </c>
      <c r="C89" s="37" t="s">
        <v>773</v>
      </c>
      <c r="D89" s="37" t="s">
        <v>772</v>
      </c>
      <c r="E89" s="37" t="s">
        <v>342</v>
      </c>
      <c r="F89" s="37" t="s">
        <v>105</v>
      </c>
      <c r="G89" s="37">
        <v>258</v>
      </c>
    </row>
    <row r="90" spans="1:7" s="37" customFormat="1" x14ac:dyDescent="0.25">
      <c r="A90" s="37" t="s">
        <v>782</v>
      </c>
      <c r="B90" s="37" t="s">
        <v>774</v>
      </c>
      <c r="C90" s="37" t="s">
        <v>778</v>
      </c>
      <c r="D90" s="37" t="s">
        <v>772</v>
      </c>
      <c r="E90" s="37" t="s">
        <v>344</v>
      </c>
      <c r="F90" s="37" t="s">
        <v>120</v>
      </c>
      <c r="G90" s="37">
        <v>4</v>
      </c>
    </row>
    <row r="91" spans="1:7" s="37" customFormat="1" x14ac:dyDescent="0.25">
      <c r="A91" s="37" t="s">
        <v>782</v>
      </c>
      <c r="B91" s="37" t="s">
        <v>780</v>
      </c>
      <c r="C91" s="37" t="s">
        <v>780</v>
      </c>
      <c r="D91" s="37" t="s">
        <v>772</v>
      </c>
      <c r="E91" s="37" t="s">
        <v>348</v>
      </c>
      <c r="F91" s="37" t="s">
        <v>105</v>
      </c>
      <c r="G91" s="37">
        <v>252</v>
      </c>
    </row>
    <row r="92" spans="1:7" s="37" customFormat="1" x14ac:dyDescent="0.25">
      <c r="A92" s="37" t="s">
        <v>782</v>
      </c>
      <c r="B92" s="37" t="s">
        <v>779</v>
      </c>
      <c r="C92" s="37" t="s">
        <v>774</v>
      </c>
      <c r="D92" s="37" t="s">
        <v>772</v>
      </c>
      <c r="E92" s="37" t="s">
        <v>352</v>
      </c>
      <c r="F92" s="37" t="s">
        <v>105</v>
      </c>
      <c r="G92" s="37">
        <v>252</v>
      </c>
    </row>
    <row r="93" spans="1:7" s="37" customFormat="1" x14ac:dyDescent="0.25">
      <c r="A93" s="37" t="s">
        <v>782</v>
      </c>
      <c r="B93" s="37" t="s">
        <v>779</v>
      </c>
      <c r="C93" s="37" t="s">
        <v>780</v>
      </c>
      <c r="D93" s="37" t="s">
        <v>772</v>
      </c>
      <c r="E93" s="37" t="s">
        <v>354</v>
      </c>
      <c r="F93" s="37" t="s">
        <v>120</v>
      </c>
      <c r="G93" s="37">
        <v>10</v>
      </c>
    </row>
    <row r="94" spans="1:7" s="37" customFormat="1" x14ac:dyDescent="0.25">
      <c r="A94" s="37" t="s">
        <v>776</v>
      </c>
      <c r="B94" s="37" t="s">
        <v>774</v>
      </c>
      <c r="C94" s="37" t="s">
        <v>774</v>
      </c>
      <c r="D94" s="37" t="s">
        <v>772</v>
      </c>
      <c r="E94" s="37" t="s">
        <v>358</v>
      </c>
      <c r="F94" s="37" t="s">
        <v>120</v>
      </c>
      <c r="G94" s="37">
        <v>10</v>
      </c>
    </row>
    <row r="95" spans="1:7" s="37" customFormat="1" x14ac:dyDescent="0.25">
      <c r="A95" s="37" t="s">
        <v>776</v>
      </c>
      <c r="B95" s="37" t="s">
        <v>774</v>
      </c>
      <c r="C95" s="37" t="s">
        <v>780</v>
      </c>
      <c r="D95" s="37" t="s">
        <v>780</v>
      </c>
      <c r="E95" s="37" t="s">
        <v>362</v>
      </c>
      <c r="F95" s="37" t="s">
        <v>120</v>
      </c>
      <c r="G95" s="37">
        <v>8</v>
      </c>
    </row>
    <row r="96" spans="1:7" s="37" customFormat="1" x14ac:dyDescent="0.25">
      <c r="A96" s="37" t="s">
        <v>776</v>
      </c>
      <c r="B96" s="37" t="s">
        <v>774</v>
      </c>
      <c r="C96" s="37" t="s">
        <v>770</v>
      </c>
      <c r="D96" s="37" t="s">
        <v>772</v>
      </c>
      <c r="E96" s="37" t="s">
        <v>364</v>
      </c>
      <c r="F96" s="37" t="s">
        <v>120</v>
      </c>
      <c r="G96" s="37">
        <v>8</v>
      </c>
    </row>
    <row r="97" spans="1:7" s="37" customFormat="1" x14ac:dyDescent="0.25">
      <c r="A97" s="37" t="s">
        <v>776</v>
      </c>
      <c r="B97" s="37" t="s">
        <v>774</v>
      </c>
      <c r="C97" s="37" t="s">
        <v>777</v>
      </c>
      <c r="D97" s="37" t="s">
        <v>770</v>
      </c>
      <c r="E97" s="37" t="s">
        <v>368</v>
      </c>
      <c r="F97" s="37" t="s">
        <v>120</v>
      </c>
      <c r="G97" s="37">
        <v>8</v>
      </c>
    </row>
    <row r="98" spans="1:7" s="37" customFormat="1" x14ac:dyDescent="0.25">
      <c r="A98" s="37" t="s">
        <v>776</v>
      </c>
      <c r="B98" s="37" t="s">
        <v>774</v>
      </c>
      <c r="C98" s="37" t="s">
        <v>777</v>
      </c>
      <c r="D98" s="37" t="s">
        <v>784</v>
      </c>
      <c r="E98" s="37" t="s">
        <v>370</v>
      </c>
      <c r="F98" s="37" t="s">
        <v>120</v>
      </c>
      <c r="G98" s="37">
        <v>8</v>
      </c>
    </row>
    <row r="99" spans="1:7" s="37" customFormat="1" x14ac:dyDescent="0.25">
      <c r="A99" s="37" t="s">
        <v>776</v>
      </c>
      <c r="B99" s="37" t="s">
        <v>774</v>
      </c>
      <c r="C99" s="37" t="s">
        <v>773</v>
      </c>
      <c r="D99" s="37" t="s">
        <v>772</v>
      </c>
      <c r="E99" s="37" t="s">
        <v>372</v>
      </c>
      <c r="F99" s="37" t="s">
        <v>373</v>
      </c>
      <c r="G99" s="37">
        <v>0</v>
      </c>
    </row>
    <row r="100" spans="1:7" s="37" customFormat="1" x14ac:dyDescent="0.25">
      <c r="A100" s="37" t="s">
        <v>776</v>
      </c>
      <c r="B100" s="37" t="s">
        <v>774</v>
      </c>
      <c r="C100" s="37" t="s">
        <v>773</v>
      </c>
      <c r="D100" s="37" t="s">
        <v>774</v>
      </c>
      <c r="E100" s="37" t="s">
        <v>375</v>
      </c>
      <c r="F100" s="37" t="s">
        <v>120</v>
      </c>
      <c r="G100" s="37">
        <v>174</v>
      </c>
    </row>
    <row r="101" spans="1:7" s="37" customFormat="1" x14ac:dyDescent="0.25">
      <c r="A101" s="37" t="s">
        <v>776</v>
      </c>
      <c r="B101" s="37" t="s">
        <v>774</v>
      </c>
      <c r="C101" s="37" t="s">
        <v>773</v>
      </c>
      <c r="D101" s="37" t="s">
        <v>780</v>
      </c>
      <c r="E101" s="37" t="s">
        <v>377</v>
      </c>
      <c r="F101" s="37" t="s">
        <v>120</v>
      </c>
      <c r="G101" s="37">
        <v>100</v>
      </c>
    </row>
    <row r="102" spans="1:7" s="37" customFormat="1" x14ac:dyDescent="0.25">
      <c r="A102" s="37" t="s">
        <v>776</v>
      </c>
      <c r="B102" s="37" t="s">
        <v>774</v>
      </c>
      <c r="C102" s="37" t="s">
        <v>773</v>
      </c>
      <c r="D102" s="37" t="s">
        <v>770</v>
      </c>
      <c r="E102" s="37" t="s">
        <v>379</v>
      </c>
      <c r="F102" s="37" t="s">
        <v>120</v>
      </c>
      <c r="G102" s="37">
        <v>50</v>
      </c>
    </row>
    <row r="103" spans="1:7" s="37" customFormat="1" x14ac:dyDescent="0.25">
      <c r="A103" s="37" t="s">
        <v>776</v>
      </c>
      <c r="B103" s="37" t="s">
        <v>774</v>
      </c>
      <c r="C103" s="37" t="s">
        <v>773</v>
      </c>
      <c r="D103" s="37" t="s">
        <v>777</v>
      </c>
      <c r="E103" s="37" t="s">
        <v>381</v>
      </c>
      <c r="F103" s="37" t="s">
        <v>120</v>
      </c>
      <c r="G103" s="37">
        <v>10</v>
      </c>
    </row>
    <row r="104" spans="1:7" s="37" customFormat="1" x14ac:dyDescent="0.25">
      <c r="A104" s="37" t="s">
        <v>776</v>
      </c>
      <c r="B104" s="37" t="s">
        <v>774</v>
      </c>
      <c r="C104" s="37" t="s">
        <v>771</v>
      </c>
      <c r="D104" s="37" t="s">
        <v>772</v>
      </c>
      <c r="E104" s="37" t="s">
        <v>383</v>
      </c>
      <c r="F104" s="37" t="s">
        <v>120</v>
      </c>
      <c r="G104" s="37">
        <v>8</v>
      </c>
    </row>
    <row r="105" spans="1:7" s="37" customFormat="1" x14ac:dyDescent="0.25">
      <c r="A105" s="37" t="s">
        <v>776</v>
      </c>
      <c r="B105" s="37" t="s">
        <v>780</v>
      </c>
      <c r="C105" s="37" t="s">
        <v>777</v>
      </c>
      <c r="D105" s="37" t="s">
        <v>772</v>
      </c>
      <c r="E105" s="37" t="s">
        <v>387</v>
      </c>
      <c r="F105" s="37" t="s">
        <v>120</v>
      </c>
      <c r="G105" s="37">
        <v>8</v>
      </c>
    </row>
    <row r="106" spans="1:7" s="37" customFormat="1" x14ac:dyDescent="0.25">
      <c r="A106" s="37" t="s">
        <v>776</v>
      </c>
      <c r="B106" s="37" t="s">
        <v>780</v>
      </c>
      <c r="C106" s="37" t="s">
        <v>773</v>
      </c>
      <c r="D106" s="37" t="s">
        <v>772</v>
      </c>
      <c r="E106" s="37" t="s">
        <v>389</v>
      </c>
      <c r="F106" s="37" t="s">
        <v>120</v>
      </c>
      <c r="G106" s="37">
        <v>7</v>
      </c>
    </row>
    <row r="107" spans="1:7" s="37" customFormat="1" x14ac:dyDescent="0.25">
      <c r="A107" s="37" t="s">
        <v>776</v>
      </c>
      <c r="B107" s="37" t="s">
        <v>780</v>
      </c>
      <c r="C107" s="37" t="s">
        <v>778</v>
      </c>
      <c r="D107" s="37" t="s">
        <v>772</v>
      </c>
      <c r="E107" s="37" t="s">
        <v>391</v>
      </c>
      <c r="F107" s="37" t="s">
        <v>255</v>
      </c>
      <c r="G107" s="37">
        <v>1</v>
      </c>
    </row>
    <row r="108" spans="1:7" s="37" customFormat="1" x14ac:dyDescent="0.25">
      <c r="A108" s="37" t="s">
        <v>776</v>
      </c>
      <c r="B108" s="37" t="s">
        <v>773</v>
      </c>
      <c r="C108" s="37" t="s">
        <v>774</v>
      </c>
      <c r="D108" s="37" t="s">
        <v>772</v>
      </c>
      <c r="E108" s="37" t="s">
        <v>399</v>
      </c>
      <c r="F108" s="37" t="s">
        <v>120</v>
      </c>
      <c r="G108" s="37">
        <v>33</v>
      </c>
    </row>
    <row r="109" spans="1:7" s="37" customFormat="1" x14ac:dyDescent="0.25">
      <c r="A109" s="37" t="s">
        <v>776</v>
      </c>
      <c r="B109" s="37" t="s">
        <v>773</v>
      </c>
      <c r="C109" s="37" t="s">
        <v>780</v>
      </c>
      <c r="D109" s="37" t="s">
        <v>772</v>
      </c>
      <c r="E109" s="37" t="s">
        <v>401</v>
      </c>
      <c r="F109" s="37" t="s">
        <v>120</v>
      </c>
      <c r="G109" s="37">
        <v>33</v>
      </c>
    </row>
    <row r="110" spans="1:7" s="37" customFormat="1" x14ac:dyDescent="0.25">
      <c r="A110" s="37" t="s">
        <v>776</v>
      </c>
      <c r="B110" s="37" t="s">
        <v>773</v>
      </c>
      <c r="C110" s="37" t="s">
        <v>770</v>
      </c>
      <c r="D110" s="37" t="s">
        <v>774</v>
      </c>
      <c r="E110" s="37" t="s">
        <v>405</v>
      </c>
      <c r="F110" s="37" t="s">
        <v>120</v>
      </c>
      <c r="G110" s="37">
        <v>33</v>
      </c>
    </row>
    <row r="111" spans="1:7" s="37" customFormat="1" x14ac:dyDescent="0.25">
      <c r="A111" s="37" t="s">
        <v>776</v>
      </c>
      <c r="B111" s="37" t="s">
        <v>773</v>
      </c>
      <c r="C111" s="37" t="s">
        <v>777</v>
      </c>
      <c r="D111" s="37" t="s">
        <v>772</v>
      </c>
      <c r="E111" s="37" t="s">
        <v>407</v>
      </c>
      <c r="F111" s="37" t="s">
        <v>120</v>
      </c>
      <c r="G111" s="37">
        <v>776</v>
      </c>
    </row>
    <row r="112" spans="1:7" s="37" customFormat="1" x14ac:dyDescent="0.25">
      <c r="A112" s="37" t="s">
        <v>776</v>
      </c>
      <c r="B112" s="37" t="s">
        <v>771</v>
      </c>
      <c r="C112" s="37" t="s">
        <v>774</v>
      </c>
      <c r="D112" s="37" t="s">
        <v>772</v>
      </c>
      <c r="E112" s="37" t="s">
        <v>411</v>
      </c>
      <c r="F112" s="37" t="s">
        <v>120</v>
      </c>
      <c r="G112" s="37">
        <v>2</v>
      </c>
    </row>
    <row r="113" spans="1:7" s="37" customFormat="1" x14ac:dyDescent="0.25">
      <c r="A113" s="37" t="s">
        <v>776</v>
      </c>
      <c r="B113" s="37" t="s">
        <v>771</v>
      </c>
      <c r="C113" s="37" t="s">
        <v>773</v>
      </c>
      <c r="D113" s="37" t="s">
        <v>772</v>
      </c>
      <c r="E113" s="37" t="s">
        <v>413</v>
      </c>
      <c r="F113" s="37" t="s">
        <v>120</v>
      </c>
      <c r="G113" s="37">
        <v>2</v>
      </c>
    </row>
    <row r="114" spans="1:7" s="37" customFormat="1" x14ac:dyDescent="0.25">
      <c r="A114" s="37" t="s">
        <v>776</v>
      </c>
      <c r="B114" s="37" t="s">
        <v>782</v>
      </c>
      <c r="C114" s="37" t="s">
        <v>774</v>
      </c>
      <c r="D114" s="37" t="s">
        <v>772</v>
      </c>
      <c r="E114" s="37" t="s">
        <v>417</v>
      </c>
      <c r="F114" s="37" t="s">
        <v>105</v>
      </c>
      <c r="G114" s="37">
        <v>40</v>
      </c>
    </row>
    <row r="115" spans="1:7" s="37" customFormat="1" x14ac:dyDescent="0.25">
      <c r="A115" s="37" t="s">
        <v>776</v>
      </c>
      <c r="B115" s="37" t="s">
        <v>782</v>
      </c>
      <c r="C115" s="37" t="s">
        <v>780</v>
      </c>
      <c r="D115" s="37" t="s">
        <v>772</v>
      </c>
      <c r="E115" s="37" t="s">
        <v>419</v>
      </c>
      <c r="F115" s="37" t="s">
        <v>105</v>
      </c>
      <c r="G115" s="37">
        <v>120</v>
      </c>
    </row>
    <row r="116" spans="1:7" s="37" customFormat="1" x14ac:dyDescent="0.25">
      <c r="A116" s="37" t="s">
        <v>776</v>
      </c>
      <c r="B116" s="37" t="s">
        <v>782</v>
      </c>
      <c r="C116" s="37" t="s">
        <v>770</v>
      </c>
      <c r="D116" s="37" t="s">
        <v>772</v>
      </c>
      <c r="E116" s="37" t="s">
        <v>421</v>
      </c>
      <c r="F116" s="37" t="s">
        <v>105</v>
      </c>
      <c r="G116" s="37">
        <v>60</v>
      </c>
    </row>
    <row r="117" spans="1:7" s="37" customFormat="1" x14ac:dyDescent="0.25">
      <c r="A117" s="37" t="s">
        <v>776</v>
      </c>
      <c r="B117" s="37" t="s">
        <v>46</v>
      </c>
      <c r="C117" s="37" t="s">
        <v>774</v>
      </c>
      <c r="D117" s="37" t="s">
        <v>774</v>
      </c>
      <c r="E117" s="37" t="s">
        <v>427</v>
      </c>
      <c r="F117" s="37" t="s">
        <v>105</v>
      </c>
      <c r="G117" s="37">
        <v>50</v>
      </c>
    </row>
    <row r="118" spans="1:7" s="37" customFormat="1" x14ac:dyDescent="0.25">
      <c r="A118" s="37" t="s">
        <v>776</v>
      </c>
      <c r="B118" s="37" t="s">
        <v>785</v>
      </c>
      <c r="C118" s="37" t="s">
        <v>774</v>
      </c>
      <c r="D118" s="37" t="s">
        <v>780</v>
      </c>
      <c r="E118" s="37" t="s">
        <v>432</v>
      </c>
      <c r="F118" s="37" t="s">
        <v>105</v>
      </c>
      <c r="G118" s="37">
        <v>900</v>
      </c>
    </row>
    <row r="119" spans="1:7" s="37" customFormat="1" x14ac:dyDescent="0.25">
      <c r="A119" s="37" t="s">
        <v>776</v>
      </c>
      <c r="B119" s="37" t="s">
        <v>785</v>
      </c>
      <c r="C119" s="37" t="s">
        <v>770</v>
      </c>
      <c r="D119" s="37" t="s">
        <v>774</v>
      </c>
      <c r="E119" s="37" t="s">
        <v>436</v>
      </c>
      <c r="F119" s="37" t="s">
        <v>120</v>
      </c>
      <c r="G119" s="37">
        <v>1014</v>
      </c>
    </row>
    <row r="120" spans="1:7" s="37" customFormat="1" x14ac:dyDescent="0.25">
      <c r="A120" s="37" t="s">
        <v>776</v>
      </c>
      <c r="B120" s="37" t="s">
        <v>785</v>
      </c>
      <c r="C120" s="37" t="s">
        <v>773</v>
      </c>
      <c r="D120" s="37" t="s">
        <v>770</v>
      </c>
      <c r="E120" s="37" t="s">
        <v>440</v>
      </c>
      <c r="F120" s="37" t="s">
        <v>105</v>
      </c>
      <c r="G120" s="37">
        <v>116</v>
      </c>
    </row>
    <row r="121" spans="1:7" s="37" customFormat="1" x14ac:dyDescent="0.25">
      <c r="A121" s="37" t="s">
        <v>776</v>
      </c>
      <c r="B121" s="37" t="s">
        <v>48</v>
      </c>
      <c r="C121" s="37" t="s">
        <v>774</v>
      </c>
      <c r="D121" s="37" t="s">
        <v>778</v>
      </c>
      <c r="E121" s="37" t="s">
        <v>446</v>
      </c>
      <c r="F121" s="37" t="s">
        <v>255</v>
      </c>
      <c r="G121" s="37">
        <v>5</v>
      </c>
    </row>
    <row r="122" spans="1:7" s="37" customFormat="1" x14ac:dyDescent="0.25">
      <c r="A122" s="37" t="s">
        <v>776</v>
      </c>
      <c r="B122" s="37" t="s">
        <v>48</v>
      </c>
      <c r="C122" s="37" t="s">
        <v>780</v>
      </c>
      <c r="D122" s="37" t="s">
        <v>774</v>
      </c>
      <c r="E122" s="37" t="s">
        <v>450</v>
      </c>
      <c r="F122" s="37" t="s">
        <v>255</v>
      </c>
      <c r="G122" s="37">
        <v>5</v>
      </c>
    </row>
    <row r="123" spans="1:7" s="37" customFormat="1" x14ac:dyDescent="0.25">
      <c r="A123" s="37" t="s">
        <v>776</v>
      </c>
      <c r="B123" s="37" t="s">
        <v>48</v>
      </c>
      <c r="C123" s="37" t="s">
        <v>770</v>
      </c>
      <c r="D123" s="37" t="s">
        <v>778</v>
      </c>
      <c r="E123" s="37" t="s">
        <v>454</v>
      </c>
      <c r="F123" s="37" t="s">
        <v>255</v>
      </c>
      <c r="G123" s="37">
        <v>1</v>
      </c>
    </row>
    <row r="124" spans="1:7" s="37" customFormat="1" x14ac:dyDescent="0.25">
      <c r="A124" s="37" t="s">
        <v>776</v>
      </c>
      <c r="B124" s="37" t="s">
        <v>786</v>
      </c>
      <c r="C124" s="37" t="s">
        <v>774</v>
      </c>
      <c r="D124" s="37" t="s">
        <v>772</v>
      </c>
      <c r="E124" s="37" t="s">
        <v>458</v>
      </c>
      <c r="F124" s="37" t="s">
        <v>255</v>
      </c>
      <c r="G124" s="37">
        <v>3</v>
      </c>
    </row>
    <row r="125" spans="1:7" s="37" customFormat="1" x14ac:dyDescent="0.25">
      <c r="A125" s="37" t="s">
        <v>776</v>
      </c>
      <c r="B125" s="37" t="s">
        <v>786</v>
      </c>
      <c r="C125" s="37" t="s">
        <v>780</v>
      </c>
      <c r="D125" s="37" t="s">
        <v>772</v>
      </c>
      <c r="E125" s="37" t="s">
        <v>460</v>
      </c>
      <c r="F125" s="37" t="s">
        <v>120</v>
      </c>
      <c r="G125" s="37">
        <v>2</v>
      </c>
    </row>
    <row r="126" spans="1:7" s="37" customFormat="1" x14ac:dyDescent="0.25">
      <c r="A126" s="37" t="s">
        <v>776</v>
      </c>
      <c r="B126" s="37" t="s">
        <v>786</v>
      </c>
      <c r="C126" s="37" t="s">
        <v>770</v>
      </c>
      <c r="D126" s="37" t="s">
        <v>772</v>
      </c>
      <c r="E126" s="37" t="s">
        <v>462</v>
      </c>
      <c r="F126" s="37" t="s">
        <v>255</v>
      </c>
      <c r="G126" s="37">
        <v>1</v>
      </c>
    </row>
    <row r="127" spans="1:7" s="37" customFormat="1" x14ac:dyDescent="0.25">
      <c r="A127" s="37" t="s">
        <v>44</v>
      </c>
      <c r="B127" s="37" t="s">
        <v>774</v>
      </c>
      <c r="C127" s="37" t="s">
        <v>774</v>
      </c>
      <c r="D127" s="37" t="s">
        <v>772</v>
      </c>
      <c r="E127" s="37" t="s">
        <v>466</v>
      </c>
      <c r="F127" s="37" t="s">
        <v>120</v>
      </c>
      <c r="G127" s="37">
        <v>26</v>
      </c>
    </row>
    <row r="128" spans="1:7" s="37" customFormat="1" x14ac:dyDescent="0.25">
      <c r="A128" s="37" t="s">
        <v>44</v>
      </c>
      <c r="B128" s="37" t="s">
        <v>774</v>
      </c>
      <c r="C128" s="37" t="s">
        <v>780</v>
      </c>
      <c r="D128" s="37" t="s">
        <v>772</v>
      </c>
      <c r="E128" s="37" t="s">
        <v>468</v>
      </c>
      <c r="F128" s="37" t="s">
        <v>120</v>
      </c>
      <c r="G128" s="37">
        <v>26</v>
      </c>
    </row>
    <row r="129" spans="1:7" s="37" customFormat="1" x14ac:dyDescent="0.25">
      <c r="A129" s="37" t="s">
        <v>44</v>
      </c>
      <c r="B129" s="37" t="s">
        <v>774</v>
      </c>
      <c r="C129" s="37" t="s">
        <v>775</v>
      </c>
      <c r="D129" s="37" t="s">
        <v>772</v>
      </c>
      <c r="E129" s="37" t="s">
        <v>470</v>
      </c>
      <c r="F129" s="37" t="s">
        <v>120</v>
      </c>
      <c r="G129" s="37">
        <v>50</v>
      </c>
    </row>
    <row r="130" spans="1:7" s="37" customFormat="1" x14ac:dyDescent="0.25">
      <c r="A130" s="37" t="s">
        <v>44</v>
      </c>
      <c r="B130" s="37" t="s">
        <v>777</v>
      </c>
      <c r="C130" s="37" t="s">
        <v>774</v>
      </c>
      <c r="D130" s="37" t="s">
        <v>772</v>
      </c>
      <c r="E130" s="37" t="s">
        <v>474</v>
      </c>
      <c r="F130" s="37" t="s">
        <v>120</v>
      </c>
      <c r="G130" s="37">
        <v>4</v>
      </c>
    </row>
    <row r="131" spans="1:7" s="37" customFormat="1" x14ac:dyDescent="0.25">
      <c r="A131" s="37" t="s">
        <v>44</v>
      </c>
      <c r="B131" s="37" t="s">
        <v>777</v>
      </c>
      <c r="C131" s="37" t="s">
        <v>780</v>
      </c>
      <c r="D131" s="37" t="s">
        <v>772</v>
      </c>
      <c r="E131" s="37" t="s">
        <v>476</v>
      </c>
      <c r="F131" s="37" t="s">
        <v>120</v>
      </c>
      <c r="G131" s="37">
        <v>4</v>
      </c>
    </row>
    <row r="132" spans="1:7" s="37" customFormat="1" x14ac:dyDescent="0.25">
      <c r="A132" s="37" t="s">
        <v>44</v>
      </c>
      <c r="B132" s="37" t="s">
        <v>777</v>
      </c>
      <c r="C132" s="37" t="s">
        <v>773</v>
      </c>
      <c r="D132" s="37" t="s">
        <v>772</v>
      </c>
      <c r="E132" s="37" t="s">
        <v>478</v>
      </c>
      <c r="F132" s="37" t="s">
        <v>105</v>
      </c>
      <c r="G132" s="37">
        <v>12000</v>
      </c>
    </row>
    <row r="133" spans="1:7" s="37" customFormat="1" x14ac:dyDescent="0.25">
      <c r="A133" s="37" t="s">
        <v>44</v>
      </c>
      <c r="B133" s="37" t="s">
        <v>777</v>
      </c>
      <c r="C133" s="37" t="s">
        <v>771</v>
      </c>
      <c r="D133" s="37" t="s">
        <v>772</v>
      </c>
      <c r="E133" s="37" t="s">
        <v>480</v>
      </c>
      <c r="F133" s="37" t="s">
        <v>105</v>
      </c>
      <c r="G133" s="37">
        <v>12000</v>
      </c>
    </row>
    <row r="134" spans="1:7" s="37" customFormat="1" x14ac:dyDescent="0.25">
      <c r="A134" s="37" t="s">
        <v>44</v>
      </c>
      <c r="B134" s="37" t="s">
        <v>777</v>
      </c>
      <c r="C134" s="37" t="s">
        <v>775</v>
      </c>
      <c r="D134" s="37" t="s">
        <v>772</v>
      </c>
      <c r="E134" s="37" t="s">
        <v>482</v>
      </c>
      <c r="F134" s="37" t="s">
        <v>120</v>
      </c>
      <c r="G134" s="37">
        <v>4</v>
      </c>
    </row>
    <row r="135" spans="1:7" s="37" customFormat="1" x14ac:dyDescent="0.25">
      <c r="A135" s="37" t="s">
        <v>44</v>
      </c>
      <c r="B135" s="37" t="s">
        <v>777</v>
      </c>
      <c r="C135" s="37" t="s">
        <v>776</v>
      </c>
      <c r="D135" s="37" t="s">
        <v>772</v>
      </c>
      <c r="E135" s="37" t="s">
        <v>484</v>
      </c>
      <c r="F135" s="37" t="s">
        <v>120</v>
      </c>
      <c r="G135" s="37">
        <v>52</v>
      </c>
    </row>
    <row r="136" spans="1:7" s="37" customFormat="1" x14ac:dyDescent="0.25">
      <c r="A136" s="37" t="s">
        <v>44</v>
      </c>
      <c r="B136" s="37" t="s">
        <v>782</v>
      </c>
      <c r="C136" s="37" t="s">
        <v>775</v>
      </c>
      <c r="D136" s="37" t="s">
        <v>772</v>
      </c>
      <c r="E136" s="37" t="s">
        <v>488</v>
      </c>
      <c r="F136" s="37" t="s">
        <v>120</v>
      </c>
      <c r="G136" s="37">
        <v>3</v>
      </c>
    </row>
    <row r="137" spans="1:7" s="37" customFormat="1" x14ac:dyDescent="0.25">
      <c r="A137" s="37" t="s">
        <v>44</v>
      </c>
      <c r="B137" s="37" t="s">
        <v>782</v>
      </c>
      <c r="C137" s="37" t="s">
        <v>782</v>
      </c>
      <c r="D137" s="37" t="s">
        <v>772</v>
      </c>
      <c r="E137" s="37" t="s">
        <v>490</v>
      </c>
      <c r="F137" s="37" t="s">
        <v>120</v>
      </c>
      <c r="G137" s="37">
        <v>3</v>
      </c>
    </row>
    <row r="138" spans="1:7" s="37" customFormat="1" x14ac:dyDescent="0.25">
      <c r="A138" s="37" t="s">
        <v>44</v>
      </c>
      <c r="B138" s="37" t="s">
        <v>44</v>
      </c>
      <c r="C138" s="37" t="s">
        <v>774</v>
      </c>
      <c r="D138" s="37" t="s">
        <v>772</v>
      </c>
      <c r="E138" s="37" t="s">
        <v>494</v>
      </c>
      <c r="F138" s="37" t="s">
        <v>120</v>
      </c>
      <c r="G138" s="37">
        <v>3</v>
      </c>
    </row>
    <row r="139" spans="1:7" s="37" customFormat="1" x14ac:dyDescent="0.25">
      <c r="A139" s="37" t="s">
        <v>44</v>
      </c>
      <c r="B139" s="37" t="s">
        <v>44</v>
      </c>
      <c r="C139" s="37" t="s">
        <v>780</v>
      </c>
      <c r="D139" s="37" t="s">
        <v>772</v>
      </c>
      <c r="E139" s="37" t="s">
        <v>496</v>
      </c>
      <c r="F139" s="37" t="s">
        <v>120</v>
      </c>
      <c r="G139" s="37">
        <v>4</v>
      </c>
    </row>
    <row r="140" spans="1:7" s="37" customFormat="1" x14ac:dyDescent="0.25">
      <c r="A140" s="37" t="s">
        <v>44</v>
      </c>
      <c r="B140" s="37" t="s">
        <v>44</v>
      </c>
      <c r="C140" s="37" t="s">
        <v>777</v>
      </c>
      <c r="D140" s="37" t="s">
        <v>772</v>
      </c>
      <c r="E140" s="37" t="s">
        <v>498</v>
      </c>
      <c r="F140" s="37" t="s">
        <v>120</v>
      </c>
      <c r="G140" s="37">
        <v>3</v>
      </c>
    </row>
    <row r="141" spans="1:7" s="37" customFormat="1" x14ac:dyDescent="0.25">
      <c r="A141" s="37" t="s">
        <v>44</v>
      </c>
      <c r="B141" s="37" t="s">
        <v>779</v>
      </c>
      <c r="C141" s="37" t="s">
        <v>774</v>
      </c>
      <c r="D141" s="37" t="s">
        <v>772</v>
      </c>
      <c r="E141" s="37" t="s">
        <v>502</v>
      </c>
      <c r="F141" s="37" t="s">
        <v>120</v>
      </c>
      <c r="G141" s="37">
        <v>45</v>
      </c>
    </row>
    <row r="142" spans="1:7" s="37" customFormat="1" x14ac:dyDescent="0.25">
      <c r="A142" s="37" t="s">
        <v>44</v>
      </c>
      <c r="B142" s="37" t="s">
        <v>779</v>
      </c>
      <c r="C142" s="37" t="s">
        <v>780</v>
      </c>
      <c r="D142" s="37" t="s">
        <v>772</v>
      </c>
      <c r="E142" s="37" t="s">
        <v>504</v>
      </c>
      <c r="F142" s="37" t="s">
        <v>120</v>
      </c>
      <c r="G142" s="37">
        <v>45</v>
      </c>
    </row>
    <row r="143" spans="1:7" s="37" customFormat="1" x14ac:dyDescent="0.25">
      <c r="A143" s="37" t="s">
        <v>44</v>
      </c>
      <c r="B143" s="37" t="s">
        <v>779</v>
      </c>
      <c r="C143" s="37" t="s">
        <v>770</v>
      </c>
      <c r="D143" s="37" t="s">
        <v>772</v>
      </c>
      <c r="E143" s="37" t="s">
        <v>506</v>
      </c>
      <c r="F143" s="37" t="s">
        <v>120</v>
      </c>
      <c r="G143" s="37">
        <v>0</v>
      </c>
    </row>
    <row r="144" spans="1:7" s="37" customFormat="1" x14ac:dyDescent="0.25">
      <c r="A144" s="37" t="s">
        <v>44</v>
      </c>
      <c r="B144" s="37" t="s">
        <v>779</v>
      </c>
      <c r="C144" s="37" t="s">
        <v>770</v>
      </c>
      <c r="D144" s="37" t="s">
        <v>774</v>
      </c>
      <c r="E144" s="37" t="s">
        <v>508</v>
      </c>
      <c r="F144" s="37" t="s">
        <v>120</v>
      </c>
      <c r="G144" s="37">
        <v>45</v>
      </c>
    </row>
    <row r="145" spans="1:7" s="37" customFormat="1" x14ac:dyDescent="0.25">
      <c r="A145" s="37" t="s">
        <v>44</v>
      </c>
      <c r="B145" s="37" t="s">
        <v>779</v>
      </c>
      <c r="C145" s="37" t="s">
        <v>770</v>
      </c>
      <c r="D145" s="37" t="s">
        <v>780</v>
      </c>
      <c r="E145" s="37" t="s">
        <v>510</v>
      </c>
      <c r="F145" s="37" t="s">
        <v>120</v>
      </c>
      <c r="G145" s="37">
        <v>45</v>
      </c>
    </row>
    <row r="146" spans="1:7" s="37" customFormat="1" x14ac:dyDescent="0.25">
      <c r="A146" s="37" t="s">
        <v>44</v>
      </c>
      <c r="B146" s="37" t="s">
        <v>779</v>
      </c>
      <c r="C146" s="37" t="s">
        <v>777</v>
      </c>
      <c r="D146" s="37" t="s">
        <v>772</v>
      </c>
      <c r="E146" s="37" t="s">
        <v>512</v>
      </c>
      <c r="F146" s="37" t="s">
        <v>120</v>
      </c>
      <c r="G146" s="37">
        <v>3</v>
      </c>
    </row>
    <row r="147" spans="1:7" s="37" customFormat="1" x14ac:dyDescent="0.25">
      <c r="A147" s="37" t="s">
        <v>44</v>
      </c>
      <c r="B147" s="37" t="s">
        <v>779</v>
      </c>
      <c r="C147" s="37" t="s">
        <v>773</v>
      </c>
      <c r="D147" s="37" t="s">
        <v>772</v>
      </c>
      <c r="E147" s="37" t="s">
        <v>514</v>
      </c>
      <c r="F147" s="37" t="s">
        <v>515</v>
      </c>
      <c r="G147" s="37">
        <v>0</v>
      </c>
    </row>
    <row r="148" spans="1:7" s="37" customFormat="1" x14ac:dyDescent="0.25">
      <c r="A148" s="37" t="s">
        <v>44</v>
      </c>
      <c r="B148" s="37" t="s">
        <v>779</v>
      </c>
      <c r="C148" s="37" t="s">
        <v>773</v>
      </c>
      <c r="D148" s="37" t="s">
        <v>774</v>
      </c>
      <c r="E148" s="37" t="s">
        <v>517</v>
      </c>
      <c r="F148" s="37" t="s">
        <v>515</v>
      </c>
      <c r="G148" s="37">
        <v>1744</v>
      </c>
    </row>
    <row r="149" spans="1:7" s="37" customFormat="1" x14ac:dyDescent="0.25">
      <c r="A149" s="37" t="s">
        <v>44</v>
      </c>
      <c r="B149" s="37" t="s">
        <v>779</v>
      </c>
      <c r="C149" s="37" t="s">
        <v>773</v>
      </c>
      <c r="D149" s="37" t="s">
        <v>780</v>
      </c>
      <c r="E149" s="37" t="s">
        <v>519</v>
      </c>
      <c r="F149" s="37" t="s">
        <v>515</v>
      </c>
      <c r="G149" s="37">
        <v>100</v>
      </c>
    </row>
    <row r="150" spans="1:7" s="37" customFormat="1" x14ac:dyDescent="0.25">
      <c r="A150" s="37" t="s">
        <v>44</v>
      </c>
      <c r="B150" s="37" t="s">
        <v>779</v>
      </c>
      <c r="C150" s="37" t="s">
        <v>771</v>
      </c>
      <c r="D150" s="37" t="s">
        <v>772</v>
      </c>
      <c r="E150" s="37" t="s">
        <v>502</v>
      </c>
      <c r="F150" s="37" t="s">
        <v>120</v>
      </c>
      <c r="G150" s="37">
        <v>0</v>
      </c>
    </row>
    <row r="151" spans="1:7" s="37" customFormat="1" x14ac:dyDescent="0.25">
      <c r="A151" s="37" t="s">
        <v>46</v>
      </c>
      <c r="B151" s="37" t="s">
        <v>774</v>
      </c>
      <c r="C151" s="37" t="s">
        <v>774</v>
      </c>
      <c r="D151" s="37" t="s">
        <v>772</v>
      </c>
      <c r="E151" s="37" t="s">
        <v>523</v>
      </c>
      <c r="F151" s="37" t="s">
        <v>255</v>
      </c>
      <c r="G151" s="37">
        <v>2</v>
      </c>
    </row>
    <row r="152" spans="1:7" s="37" customFormat="1" x14ac:dyDescent="0.25">
      <c r="A152" s="37" t="s">
        <v>46</v>
      </c>
      <c r="B152" s="37" t="s">
        <v>780</v>
      </c>
      <c r="C152" s="37" t="s">
        <v>770</v>
      </c>
      <c r="D152" s="37" t="s">
        <v>772</v>
      </c>
      <c r="E152" s="37" t="s">
        <v>527</v>
      </c>
      <c r="F152" s="37" t="s">
        <v>105</v>
      </c>
      <c r="G152" s="37">
        <v>73</v>
      </c>
    </row>
    <row r="153" spans="1:7" s="37" customFormat="1" x14ac:dyDescent="0.25">
      <c r="A153" s="37" t="s">
        <v>46</v>
      </c>
      <c r="B153" s="37" t="s">
        <v>44</v>
      </c>
      <c r="C153" s="37" t="s">
        <v>774</v>
      </c>
      <c r="D153" s="37" t="s">
        <v>774</v>
      </c>
      <c r="E153" s="37" t="s">
        <v>533</v>
      </c>
      <c r="F153" s="37" t="s">
        <v>105</v>
      </c>
      <c r="G153" s="37">
        <v>83</v>
      </c>
    </row>
    <row r="154" spans="1:7" s="37" customFormat="1" x14ac:dyDescent="0.25">
      <c r="A154" s="37" t="s">
        <v>46</v>
      </c>
      <c r="B154" s="37" t="s">
        <v>44</v>
      </c>
      <c r="C154" s="37" t="s">
        <v>774</v>
      </c>
      <c r="D154" s="37" t="s">
        <v>780</v>
      </c>
      <c r="E154" s="37" t="s">
        <v>535</v>
      </c>
      <c r="F154" s="37" t="s">
        <v>105</v>
      </c>
      <c r="G154" s="37">
        <v>71</v>
      </c>
    </row>
    <row r="155" spans="1:7" s="37" customFormat="1" x14ac:dyDescent="0.25">
      <c r="A155" s="37" t="s">
        <v>46</v>
      </c>
      <c r="B155" s="37" t="s">
        <v>44</v>
      </c>
      <c r="C155" s="37" t="s">
        <v>774</v>
      </c>
      <c r="D155" s="37" t="s">
        <v>770</v>
      </c>
      <c r="E155" s="37" t="s">
        <v>537</v>
      </c>
      <c r="F155" s="37" t="s">
        <v>105</v>
      </c>
      <c r="G155" s="37">
        <v>83</v>
      </c>
    </row>
    <row r="156" spans="1:7" s="37" customFormat="1" x14ac:dyDescent="0.25">
      <c r="A156" s="37" t="s">
        <v>46</v>
      </c>
      <c r="B156" s="37" t="s">
        <v>44</v>
      </c>
      <c r="C156" s="37" t="s">
        <v>770</v>
      </c>
      <c r="D156" s="37" t="s">
        <v>772</v>
      </c>
      <c r="E156" s="37" t="s">
        <v>539</v>
      </c>
      <c r="F156" s="37" t="s">
        <v>105</v>
      </c>
      <c r="G156" s="37">
        <v>85</v>
      </c>
    </row>
    <row r="157" spans="1:7" s="37" customFormat="1" x14ac:dyDescent="0.25">
      <c r="A157" s="37" t="s">
        <v>46</v>
      </c>
      <c r="B157" s="37" t="s">
        <v>44</v>
      </c>
      <c r="C157" s="37" t="s">
        <v>770</v>
      </c>
      <c r="D157" s="37" t="s">
        <v>774</v>
      </c>
      <c r="E157" s="37" t="s">
        <v>541</v>
      </c>
      <c r="F157" s="37" t="s">
        <v>105</v>
      </c>
      <c r="G157" s="37">
        <v>28</v>
      </c>
    </row>
    <row r="158" spans="1:7" s="37" customFormat="1" x14ac:dyDescent="0.25">
      <c r="A158" s="37" t="s">
        <v>46</v>
      </c>
      <c r="B158" s="37" t="s">
        <v>44</v>
      </c>
      <c r="C158" s="37" t="s">
        <v>770</v>
      </c>
      <c r="D158" s="37" t="s">
        <v>780</v>
      </c>
      <c r="E158" s="37" t="s">
        <v>543</v>
      </c>
      <c r="F158" s="37" t="s">
        <v>105</v>
      </c>
      <c r="G158" s="37">
        <v>40</v>
      </c>
    </row>
    <row r="159" spans="1:7" s="37" customFormat="1" x14ac:dyDescent="0.25">
      <c r="A159" s="37" t="s">
        <v>46</v>
      </c>
      <c r="B159" s="37" t="s">
        <v>44</v>
      </c>
      <c r="C159" s="37" t="s">
        <v>770</v>
      </c>
      <c r="D159" s="37" t="s">
        <v>770</v>
      </c>
      <c r="E159" s="37" t="s">
        <v>545</v>
      </c>
      <c r="F159" s="37" t="s">
        <v>105</v>
      </c>
      <c r="G159" s="37">
        <v>7</v>
      </c>
    </row>
    <row r="160" spans="1:7" s="37" customFormat="1" x14ac:dyDescent="0.25">
      <c r="A160" s="37" t="s">
        <v>46</v>
      </c>
      <c r="B160" s="37" t="s">
        <v>44</v>
      </c>
      <c r="C160" s="37" t="s">
        <v>770</v>
      </c>
      <c r="D160" s="37" t="s">
        <v>777</v>
      </c>
      <c r="E160" s="37" t="s">
        <v>547</v>
      </c>
      <c r="F160" s="37" t="s">
        <v>105</v>
      </c>
      <c r="G160" s="37">
        <v>13</v>
      </c>
    </row>
    <row r="161" spans="1:7" s="37" customFormat="1" x14ac:dyDescent="0.25">
      <c r="A161" s="37" t="s">
        <v>46</v>
      </c>
      <c r="B161" s="37" t="s">
        <v>44</v>
      </c>
      <c r="C161" s="37" t="s">
        <v>770</v>
      </c>
      <c r="D161" s="37" t="s">
        <v>773</v>
      </c>
      <c r="E161" s="37" t="s">
        <v>549</v>
      </c>
      <c r="F161" s="37" t="s">
        <v>105</v>
      </c>
      <c r="G161" s="37">
        <v>21</v>
      </c>
    </row>
    <row r="162" spans="1:7" s="37" customFormat="1" x14ac:dyDescent="0.25">
      <c r="A162" s="37" t="s">
        <v>46</v>
      </c>
      <c r="B162" s="37" t="s">
        <v>44</v>
      </c>
      <c r="C162" s="37" t="s">
        <v>778</v>
      </c>
      <c r="D162" s="37" t="s">
        <v>772</v>
      </c>
      <c r="E162" s="37" t="s">
        <v>551</v>
      </c>
      <c r="F162" s="37" t="s">
        <v>105</v>
      </c>
      <c r="G162" s="37">
        <v>50</v>
      </c>
    </row>
    <row r="163" spans="1:7" s="37" customFormat="1" x14ac:dyDescent="0.25">
      <c r="A163" s="37" t="s">
        <v>46</v>
      </c>
      <c r="B163" s="37" t="s">
        <v>44</v>
      </c>
      <c r="C163" s="37" t="s">
        <v>781</v>
      </c>
      <c r="D163" s="37" t="s">
        <v>772</v>
      </c>
      <c r="E163" s="37" t="s">
        <v>553</v>
      </c>
      <c r="F163" s="37" t="s">
        <v>120</v>
      </c>
      <c r="G163" s="37">
        <v>15</v>
      </c>
    </row>
    <row r="164" spans="1:7" s="37" customFormat="1" x14ac:dyDescent="0.25">
      <c r="A164" s="37" t="s">
        <v>46</v>
      </c>
      <c r="B164" s="37" t="s">
        <v>784</v>
      </c>
      <c r="C164" s="37" t="s">
        <v>774</v>
      </c>
      <c r="D164" s="37" t="s">
        <v>772</v>
      </c>
      <c r="E164" s="37" t="s">
        <v>556</v>
      </c>
      <c r="F164" s="37" t="s">
        <v>255</v>
      </c>
      <c r="G164" s="37">
        <v>2</v>
      </c>
    </row>
    <row r="165" spans="1:7" s="37" customFormat="1" x14ac:dyDescent="0.25">
      <c r="A165" s="37" t="s">
        <v>46</v>
      </c>
      <c r="B165" s="37" t="s">
        <v>779</v>
      </c>
      <c r="C165" s="37" t="s">
        <v>774</v>
      </c>
      <c r="D165" s="37" t="s">
        <v>772</v>
      </c>
      <c r="E165" s="37" t="s">
        <v>560</v>
      </c>
      <c r="F165" s="37" t="s">
        <v>105</v>
      </c>
      <c r="G165" s="37">
        <v>16</v>
      </c>
    </row>
    <row r="166" spans="1:7" s="37" customFormat="1" x14ac:dyDescent="0.25">
      <c r="A166" s="37" t="s">
        <v>46</v>
      </c>
      <c r="B166" s="37" t="s">
        <v>779</v>
      </c>
      <c r="C166" s="37" t="s">
        <v>780</v>
      </c>
      <c r="D166" s="37" t="s">
        <v>772</v>
      </c>
      <c r="E166" s="37" t="s">
        <v>562</v>
      </c>
      <c r="F166" s="37" t="s">
        <v>120</v>
      </c>
      <c r="G166" s="37">
        <v>24</v>
      </c>
    </row>
    <row r="167" spans="1:7" s="37" customFormat="1" x14ac:dyDescent="0.25">
      <c r="A167" s="37" t="s">
        <v>48</v>
      </c>
      <c r="B167" s="37" t="s">
        <v>774</v>
      </c>
      <c r="C167" s="37" t="s">
        <v>774</v>
      </c>
      <c r="D167" s="37" t="s">
        <v>774</v>
      </c>
      <c r="E167" s="37" t="s">
        <v>568</v>
      </c>
      <c r="F167" s="37" t="s">
        <v>135</v>
      </c>
      <c r="G167" s="37">
        <v>1609</v>
      </c>
    </row>
    <row r="168" spans="1:7" s="37" customFormat="1" x14ac:dyDescent="0.25">
      <c r="A168" s="37" t="s">
        <v>48</v>
      </c>
      <c r="B168" s="37" t="s">
        <v>774</v>
      </c>
      <c r="C168" s="37" t="s">
        <v>774</v>
      </c>
      <c r="D168" s="37" t="s">
        <v>770</v>
      </c>
      <c r="E168" s="37" t="s">
        <v>787</v>
      </c>
      <c r="F168" s="37" t="s">
        <v>135</v>
      </c>
      <c r="G168" s="37">
        <v>1</v>
      </c>
    </row>
    <row r="169" spans="1:7" s="37" customFormat="1" x14ac:dyDescent="0.25">
      <c r="A169" s="37" t="s">
        <v>48</v>
      </c>
      <c r="B169" s="37" t="s">
        <v>774</v>
      </c>
      <c r="C169" s="37" t="s">
        <v>774</v>
      </c>
      <c r="D169" s="37" t="s">
        <v>778</v>
      </c>
      <c r="E169" s="37" t="s">
        <v>570</v>
      </c>
      <c r="F169" s="37" t="s">
        <v>135</v>
      </c>
      <c r="G169" s="37">
        <v>1126</v>
      </c>
    </row>
    <row r="170" spans="1:7" s="37" customFormat="1" x14ac:dyDescent="0.25">
      <c r="A170" s="37" t="s">
        <v>48</v>
      </c>
      <c r="B170" s="37" t="s">
        <v>774</v>
      </c>
      <c r="C170" s="37" t="s">
        <v>774</v>
      </c>
      <c r="D170" s="37" t="s">
        <v>781</v>
      </c>
      <c r="E170" s="37" t="s">
        <v>572</v>
      </c>
      <c r="F170" s="37" t="s">
        <v>135</v>
      </c>
      <c r="G170" s="37">
        <v>483</v>
      </c>
    </row>
    <row r="171" spans="1:7" s="37" customFormat="1" x14ac:dyDescent="0.25">
      <c r="A171" s="37" t="s">
        <v>48</v>
      </c>
      <c r="B171" s="37" t="s">
        <v>774</v>
      </c>
      <c r="C171" s="37" t="s">
        <v>774</v>
      </c>
      <c r="D171" s="37" t="s">
        <v>783</v>
      </c>
      <c r="E171" s="37" t="s">
        <v>574</v>
      </c>
      <c r="F171" s="37" t="s">
        <v>135</v>
      </c>
      <c r="G171" s="37">
        <v>9598</v>
      </c>
    </row>
    <row r="172" spans="1:7" s="37" customFormat="1" x14ac:dyDescent="0.25">
      <c r="A172" s="37" t="s">
        <v>48</v>
      </c>
      <c r="B172" s="37" t="s">
        <v>774</v>
      </c>
      <c r="C172" s="37" t="s">
        <v>774</v>
      </c>
      <c r="D172" s="37" t="s">
        <v>788</v>
      </c>
      <c r="E172" s="37" t="s">
        <v>576</v>
      </c>
      <c r="F172" s="37" t="s">
        <v>135</v>
      </c>
      <c r="G172" s="37">
        <v>3600</v>
      </c>
    </row>
    <row r="173" spans="1:7" s="37" customFormat="1" x14ac:dyDescent="0.25">
      <c r="A173" s="37" t="s">
        <v>48</v>
      </c>
      <c r="B173" s="37" t="s">
        <v>774</v>
      </c>
      <c r="C173" s="37" t="s">
        <v>774</v>
      </c>
      <c r="D173" s="37" t="s">
        <v>789</v>
      </c>
      <c r="E173" s="37" t="s">
        <v>578</v>
      </c>
      <c r="F173" s="37" t="s">
        <v>135</v>
      </c>
      <c r="G173" s="37">
        <v>47</v>
      </c>
    </row>
    <row r="174" spans="1:7" s="37" customFormat="1" x14ac:dyDescent="0.25">
      <c r="A174" s="37" t="s">
        <v>48</v>
      </c>
      <c r="B174" s="37" t="s">
        <v>774</v>
      </c>
      <c r="C174" s="37" t="s">
        <v>774</v>
      </c>
      <c r="D174" s="37" t="s">
        <v>790</v>
      </c>
      <c r="E174" s="37" t="s">
        <v>580</v>
      </c>
      <c r="F174" s="37" t="s">
        <v>135</v>
      </c>
      <c r="G174" s="37">
        <v>20</v>
      </c>
    </row>
    <row r="175" spans="1:7" s="37" customFormat="1" x14ac:dyDescent="0.25">
      <c r="A175" s="37" t="s">
        <v>48</v>
      </c>
      <c r="B175" s="37" t="s">
        <v>774</v>
      </c>
      <c r="C175" s="37" t="s">
        <v>773</v>
      </c>
      <c r="D175" s="37" t="s">
        <v>772</v>
      </c>
      <c r="E175" s="37" t="s">
        <v>582</v>
      </c>
      <c r="F175" s="37" t="s">
        <v>583</v>
      </c>
      <c r="G175" s="37">
        <v>2</v>
      </c>
    </row>
    <row r="176" spans="1:7" s="37" customFormat="1" x14ac:dyDescent="0.25">
      <c r="A176" s="37" t="s">
        <v>48</v>
      </c>
      <c r="B176" s="37" t="s">
        <v>774</v>
      </c>
      <c r="C176" s="37" t="s">
        <v>778</v>
      </c>
      <c r="D176" s="37" t="s">
        <v>772</v>
      </c>
      <c r="E176" s="37" t="s">
        <v>585</v>
      </c>
      <c r="F176" s="37" t="s">
        <v>583</v>
      </c>
      <c r="G176" s="37">
        <v>46</v>
      </c>
    </row>
    <row r="177" spans="1:7" s="37" customFormat="1" x14ac:dyDescent="0.25">
      <c r="A177" s="37" t="s">
        <v>48</v>
      </c>
      <c r="B177" s="37" t="s">
        <v>774</v>
      </c>
      <c r="C177" s="37" t="s">
        <v>781</v>
      </c>
      <c r="D177" s="37" t="s">
        <v>772</v>
      </c>
      <c r="E177" s="37" t="s">
        <v>587</v>
      </c>
      <c r="F177" s="37" t="s">
        <v>135</v>
      </c>
      <c r="G177" s="37">
        <v>3</v>
      </c>
    </row>
    <row r="178" spans="1:7" s="37" customFormat="1" x14ac:dyDescent="0.25">
      <c r="A178" s="37" t="s">
        <v>48</v>
      </c>
      <c r="B178" s="37" t="s">
        <v>774</v>
      </c>
      <c r="C178" s="37" t="s">
        <v>783</v>
      </c>
      <c r="D178" s="37" t="s">
        <v>772</v>
      </c>
      <c r="E178" s="37" t="s">
        <v>589</v>
      </c>
      <c r="F178" s="37" t="s">
        <v>105</v>
      </c>
      <c r="G178" s="37">
        <v>83</v>
      </c>
    </row>
    <row r="179" spans="1:7" s="37" customFormat="1" x14ac:dyDescent="0.25">
      <c r="A179" s="37" t="s">
        <v>48</v>
      </c>
      <c r="B179" s="37" t="s">
        <v>774</v>
      </c>
      <c r="C179" s="37" t="s">
        <v>788</v>
      </c>
      <c r="D179" s="37" t="s">
        <v>772</v>
      </c>
      <c r="E179" s="37" t="s">
        <v>591</v>
      </c>
      <c r="F179" s="37" t="s">
        <v>583</v>
      </c>
      <c r="G179" s="37">
        <v>4</v>
      </c>
    </row>
    <row r="180" spans="1:7" s="37" customFormat="1" x14ac:dyDescent="0.25">
      <c r="A180" s="37" t="s">
        <v>48</v>
      </c>
      <c r="B180" s="37" t="s">
        <v>774</v>
      </c>
      <c r="C180" s="37" t="s">
        <v>789</v>
      </c>
      <c r="D180" s="37" t="s">
        <v>772</v>
      </c>
      <c r="E180" s="37" t="s">
        <v>593</v>
      </c>
      <c r="F180" s="37" t="s">
        <v>583</v>
      </c>
      <c r="G180" s="37">
        <v>1</v>
      </c>
    </row>
    <row r="181" spans="1:7" s="37" customFormat="1" x14ac:dyDescent="0.25">
      <c r="A181" s="37" t="s">
        <v>50</v>
      </c>
      <c r="B181" s="37" t="s">
        <v>774</v>
      </c>
      <c r="C181" s="37" t="s">
        <v>774</v>
      </c>
      <c r="D181" s="37" t="s">
        <v>772</v>
      </c>
      <c r="E181" s="37" t="s">
        <v>597</v>
      </c>
      <c r="F181" s="37" t="s">
        <v>255</v>
      </c>
      <c r="G181" s="37">
        <v>1</v>
      </c>
    </row>
    <row r="182" spans="1:7" s="37" customFormat="1" x14ac:dyDescent="0.25">
      <c r="A182" s="37" t="s">
        <v>50</v>
      </c>
      <c r="B182" s="37" t="s">
        <v>774</v>
      </c>
      <c r="C182" s="37" t="s">
        <v>780</v>
      </c>
      <c r="D182" s="37" t="s">
        <v>772</v>
      </c>
      <c r="E182" s="37" t="s">
        <v>599</v>
      </c>
      <c r="F182" s="37" t="s">
        <v>255</v>
      </c>
      <c r="G182" s="37">
        <v>1</v>
      </c>
    </row>
    <row r="183" spans="1:7" s="37" customFormat="1" x14ac:dyDescent="0.25">
      <c r="A183" s="37" t="s">
        <v>50</v>
      </c>
      <c r="B183" s="37" t="s">
        <v>780</v>
      </c>
      <c r="C183" s="37" t="s">
        <v>774</v>
      </c>
      <c r="D183" s="37" t="s">
        <v>772</v>
      </c>
      <c r="E183" s="37" t="s">
        <v>603</v>
      </c>
      <c r="F183" s="37" t="s">
        <v>255</v>
      </c>
      <c r="G183" s="37">
        <v>0</v>
      </c>
    </row>
    <row r="184" spans="1:7" s="37" customFormat="1" x14ac:dyDescent="0.25">
      <c r="A184" s="37" t="s">
        <v>50</v>
      </c>
      <c r="B184" s="37" t="s">
        <v>780</v>
      </c>
      <c r="C184" s="37" t="s">
        <v>774</v>
      </c>
      <c r="D184" s="37" t="s">
        <v>774</v>
      </c>
      <c r="E184" s="37" t="s">
        <v>605</v>
      </c>
      <c r="F184" s="37" t="s">
        <v>135</v>
      </c>
      <c r="G184" s="37">
        <v>22250</v>
      </c>
    </row>
    <row r="185" spans="1:7" s="37" customFormat="1" x14ac:dyDescent="0.25">
      <c r="A185" s="37" t="s">
        <v>50</v>
      </c>
      <c r="B185" s="37" t="s">
        <v>780</v>
      </c>
      <c r="C185" s="37" t="s">
        <v>774</v>
      </c>
      <c r="D185" s="37" t="s">
        <v>780</v>
      </c>
      <c r="E185" s="37" t="s">
        <v>607</v>
      </c>
      <c r="F185" s="37" t="s">
        <v>152</v>
      </c>
      <c r="G185" s="37">
        <v>5500</v>
      </c>
    </row>
    <row r="186" spans="1:7" s="37" customFormat="1" x14ac:dyDescent="0.25">
      <c r="A186" s="37" t="s">
        <v>50</v>
      </c>
      <c r="B186" s="37" t="s">
        <v>780</v>
      </c>
      <c r="C186" s="37" t="s">
        <v>774</v>
      </c>
      <c r="D186" s="37" t="s">
        <v>778</v>
      </c>
      <c r="E186" s="37" t="s">
        <v>609</v>
      </c>
      <c r="F186" s="37" t="s">
        <v>255</v>
      </c>
      <c r="G186" s="37">
        <v>1</v>
      </c>
    </row>
    <row r="187" spans="1:7" s="37" customFormat="1" x14ac:dyDescent="0.25">
      <c r="A187" s="37" t="s">
        <v>50</v>
      </c>
      <c r="B187" s="37" t="s">
        <v>780</v>
      </c>
      <c r="C187" s="37" t="s">
        <v>774</v>
      </c>
      <c r="D187" s="37" t="s">
        <v>781</v>
      </c>
      <c r="E187" s="37" t="s">
        <v>611</v>
      </c>
      <c r="F187" s="37" t="s">
        <v>255</v>
      </c>
      <c r="G187" s="37">
        <v>1</v>
      </c>
    </row>
    <row r="188" spans="1:7" s="37" customFormat="1" x14ac:dyDescent="0.25">
      <c r="A188" s="37" t="s">
        <v>50</v>
      </c>
      <c r="B188" s="37" t="s">
        <v>780</v>
      </c>
      <c r="C188" s="37" t="s">
        <v>774</v>
      </c>
      <c r="D188" s="37" t="s">
        <v>783</v>
      </c>
      <c r="E188" s="37" t="s">
        <v>613</v>
      </c>
      <c r="F188" s="37" t="s">
        <v>255</v>
      </c>
      <c r="G188" s="37">
        <v>1</v>
      </c>
    </row>
    <row r="189" spans="1:7" s="37" customFormat="1" x14ac:dyDescent="0.25">
      <c r="A189" s="37" t="s">
        <v>50</v>
      </c>
      <c r="B189" s="37" t="s">
        <v>780</v>
      </c>
      <c r="C189" s="37" t="s">
        <v>774</v>
      </c>
      <c r="D189" s="37" t="s">
        <v>788</v>
      </c>
      <c r="E189" s="37" t="s">
        <v>615</v>
      </c>
      <c r="F189" s="37" t="s">
        <v>255</v>
      </c>
      <c r="G189" s="37">
        <v>1</v>
      </c>
    </row>
    <row r="190" spans="1:7" s="37" customFormat="1" x14ac:dyDescent="0.25">
      <c r="A190" s="37" t="s">
        <v>50</v>
      </c>
      <c r="B190" s="37" t="s">
        <v>780</v>
      </c>
      <c r="C190" s="37" t="s">
        <v>774</v>
      </c>
      <c r="D190" s="37" t="s">
        <v>789</v>
      </c>
      <c r="E190" s="37" t="s">
        <v>617</v>
      </c>
      <c r="F190" s="37" t="s">
        <v>255</v>
      </c>
      <c r="G190" s="37">
        <v>1</v>
      </c>
    </row>
    <row r="191" spans="1:7" s="37" customFormat="1" x14ac:dyDescent="0.25">
      <c r="A191" s="37" t="s">
        <v>50</v>
      </c>
      <c r="B191" s="37" t="s">
        <v>780</v>
      </c>
      <c r="C191" s="37" t="s">
        <v>774</v>
      </c>
      <c r="D191" s="37" t="s">
        <v>790</v>
      </c>
      <c r="E191" s="37" t="s">
        <v>619</v>
      </c>
      <c r="F191" s="37" t="s">
        <v>255</v>
      </c>
      <c r="G191" s="37">
        <v>1</v>
      </c>
    </row>
    <row r="192" spans="1:7" s="37" customFormat="1" x14ac:dyDescent="0.25">
      <c r="A192" s="37" t="s">
        <v>50</v>
      </c>
      <c r="B192" s="37" t="s">
        <v>780</v>
      </c>
      <c r="C192" s="37" t="s">
        <v>774</v>
      </c>
      <c r="D192" s="37" t="s">
        <v>791</v>
      </c>
      <c r="E192" s="37" t="s">
        <v>621</v>
      </c>
      <c r="F192" s="37" t="s">
        <v>255</v>
      </c>
      <c r="G192" s="37">
        <v>1</v>
      </c>
    </row>
    <row r="193" spans="1:7" s="37" customFormat="1" x14ac:dyDescent="0.25">
      <c r="A193" s="37" t="s">
        <v>50</v>
      </c>
      <c r="B193" s="37" t="s">
        <v>780</v>
      </c>
      <c r="C193" s="37" t="s">
        <v>774</v>
      </c>
      <c r="D193" s="37" t="s">
        <v>792</v>
      </c>
      <c r="E193" s="37" t="s">
        <v>623</v>
      </c>
      <c r="F193" s="37" t="s">
        <v>255</v>
      </c>
      <c r="G193" s="37">
        <v>1</v>
      </c>
    </row>
    <row r="194" spans="1:7" s="37" customFormat="1" x14ac:dyDescent="0.25">
      <c r="A194" s="37" t="s">
        <v>50</v>
      </c>
      <c r="B194" s="37" t="s">
        <v>780</v>
      </c>
      <c r="C194" s="37" t="s">
        <v>774</v>
      </c>
      <c r="D194" s="37" t="s">
        <v>793</v>
      </c>
      <c r="E194" s="37" t="s">
        <v>625</v>
      </c>
      <c r="F194" s="37" t="s">
        <v>255</v>
      </c>
      <c r="G194" s="37">
        <v>1</v>
      </c>
    </row>
    <row r="195" spans="1:7" s="37" customFormat="1" x14ac:dyDescent="0.25">
      <c r="A195" s="37" t="s">
        <v>50</v>
      </c>
      <c r="B195" s="37" t="s">
        <v>780</v>
      </c>
      <c r="C195" s="37" t="s">
        <v>774</v>
      </c>
      <c r="D195" s="37" t="s">
        <v>794</v>
      </c>
      <c r="E195" s="37" t="s">
        <v>627</v>
      </c>
      <c r="F195" s="37" t="s">
        <v>255</v>
      </c>
      <c r="G195" s="37">
        <v>1</v>
      </c>
    </row>
    <row r="196" spans="1:7" s="37" customFormat="1" x14ac:dyDescent="0.25">
      <c r="A196" s="37" t="s">
        <v>50</v>
      </c>
      <c r="B196" s="37" t="s">
        <v>780</v>
      </c>
      <c r="C196" s="37" t="s">
        <v>774</v>
      </c>
      <c r="D196" s="37" t="s">
        <v>795</v>
      </c>
      <c r="E196" s="37" t="s">
        <v>629</v>
      </c>
      <c r="F196" s="37" t="s">
        <v>255</v>
      </c>
      <c r="G196" s="37">
        <v>1</v>
      </c>
    </row>
    <row r="197" spans="1:7" s="37" customFormat="1" x14ac:dyDescent="0.25">
      <c r="A197" s="37" t="s">
        <v>50</v>
      </c>
      <c r="B197" s="37" t="s">
        <v>780</v>
      </c>
      <c r="C197" s="37" t="s">
        <v>774</v>
      </c>
      <c r="D197" s="37" t="s">
        <v>796</v>
      </c>
      <c r="E197" s="37" t="s">
        <v>631</v>
      </c>
      <c r="F197" s="37" t="s">
        <v>255</v>
      </c>
      <c r="G197" s="37">
        <v>1</v>
      </c>
    </row>
    <row r="198" spans="1:7" s="37" customFormat="1" x14ac:dyDescent="0.25">
      <c r="A198" s="37" t="s">
        <v>50</v>
      </c>
      <c r="B198" s="37" t="s">
        <v>780</v>
      </c>
      <c r="C198" s="37" t="s">
        <v>774</v>
      </c>
      <c r="D198" s="37" t="s">
        <v>797</v>
      </c>
      <c r="E198" s="37" t="s">
        <v>633</v>
      </c>
      <c r="F198" s="37" t="s">
        <v>255</v>
      </c>
      <c r="G198" s="37">
        <v>1</v>
      </c>
    </row>
    <row r="199" spans="1:7" s="37" customFormat="1" x14ac:dyDescent="0.25">
      <c r="A199" s="37" t="s">
        <v>50</v>
      </c>
      <c r="B199" s="37" t="s">
        <v>780</v>
      </c>
      <c r="C199" s="37" t="s">
        <v>774</v>
      </c>
      <c r="D199" s="37" t="s">
        <v>798</v>
      </c>
      <c r="E199" s="37" t="s">
        <v>635</v>
      </c>
      <c r="F199" s="37" t="s">
        <v>255</v>
      </c>
      <c r="G199" s="37">
        <v>1</v>
      </c>
    </row>
    <row r="200" spans="1:7" s="37" customFormat="1" x14ac:dyDescent="0.25">
      <c r="A200" s="37" t="s">
        <v>50</v>
      </c>
      <c r="B200" s="37" t="s">
        <v>780</v>
      </c>
      <c r="C200" s="37" t="s">
        <v>774</v>
      </c>
      <c r="D200" s="37" t="s">
        <v>799</v>
      </c>
      <c r="E200" s="37" t="s">
        <v>637</v>
      </c>
      <c r="F200" s="37" t="s">
        <v>255</v>
      </c>
      <c r="G200" s="37">
        <v>1</v>
      </c>
    </row>
    <row r="201" spans="1:7" s="37" customFormat="1" x14ac:dyDescent="0.25">
      <c r="A201" s="37" t="s">
        <v>50</v>
      </c>
      <c r="B201" s="37" t="s">
        <v>780</v>
      </c>
      <c r="C201" s="37" t="s">
        <v>774</v>
      </c>
      <c r="D201" s="37" t="s">
        <v>800</v>
      </c>
      <c r="E201" s="37" t="s">
        <v>639</v>
      </c>
      <c r="F201" s="37" t="s">
        <v>255</v>
      </c>
      <c r="G201" s="37">
        <v>1</v>
      </c>
    </row>
    <row r="202" spans="1:7" s="37" customFormat="1" x14ac:dyDescent="0.25">
      <c r="A202" s="37" t="s">
        <v>50</v>
      </c>
      <c r="B202" s="37" t="s">
        <v>780</v>
      </c>
      <c r="C202" s="37" t="s">
        <v>774</v>
      </c>
      <c r="D202" s="37" t="s">
        <v>801</v>
      </c>
      <c r="E202" s="37" t="s">
        <v>641</v>
      </c>
      <c r="F202" s="37" t="s">
        <v>255</v>
      </c>
      <c r="G202" s="37">
        <v>1</v>
      </c>
    </row>
    <row r="203" spans="1:7" s="37" customFormat="1" x14ac:dyDescent="0.25">
      <c r="A203" s="37" t="s">
        <v>50</v>
      </c>
      <c r="B203" s="37" t="s">
        <v>780</v>
      </c>
      <c r="C203" s="37" t="s">
        <v>774</v>
      </c>
      <c r="D203" s="37" t="s">
        <v>802</v>
      </c>
      <c r="E203" s="37" t="s">
        <v>643</v>
      </c>
      <c r="F203" s="37" t="s">
        <v>255</v>
      </c>
      <c r="G203" s="37">
        <v>1</v>
      </c>
    </row>
    <row r="204" spans="1:7" s="37" customFormat="1" x14ac:dyDescent="0.25">
      <c r="A204" s="37" t="s">
        <v>50</v>
      </c>
      <c r="B204" s="37" t="s">
        <v>780</v>
      </c>
      <c r="C204" s="37" t="s">
        <v>774</v>
      </c>
      <c r="D204" s="37" t="s">
        <v>803</v>
      </c>
      <c r="E204" s="37" t="s">
        <v>645</v>
      </c>
      <c r="F204" s="37" t="s">
        <v>255</v>
      </c>
      <c r="G204" s="37">
        <v>1</v>
      </c>
    </row>
    <row r="205" spans="1:7" s="37" customFormat="1" x14ac:dyDescent="0.25">
      <c r="A205" s="37" t="s">
        <v>50</v>
      </c>
      <c r="B205" s="37" t="s">
        <v>780</v>
      </c>
      <c r="C205" s="37" t="s">
        <v>774</v>
      </c>
      <c r="D205" s="37" t="s">
        <v>804</v>
      </c>
      <c r="E205" s="37" t="s">
        <v>647</v>
      </c>
      <c r="F205" s="37" t="s">
        <v>255</v>
      </c>
      <c r="G205" s="37">
        <v>1</v>
      </c>
    </row>
    <row r="206" spans="1:7" s="37" customFormat="1" x14ac:dyDescent="0.25">
      <c r="A206" s="37" t="s">
        <v>50</v>
      </c>
      <c r="B206" s="37" t="s">
        <v>780</v>
      </c>
      <c r="C206" s="37" t="s">
        <v>774</v>
      </c>
      <c r="D206" s="37" t="s">
        <v>805</v>
      </c>
      <c r="E206" s="37" t="s">
        <v>649</v>
      </c>
      <c r="F206" s="37" t="s">
        <v>255</v>
      </c>
      <c r="G206" s="37">
        <v>1</v>
      </c>
    </row>
    <row r="207" spans="1:7" s="37" customFormat="1" x14ac:dyDescent="0.25">
      <c r="A207" s="37" t="s">
        <v>50</v>
      </c>
      <c r="B207" s="37" t="s">
        <v>780</v>
      </c>
      <c r="C207" s="37" t="s">
        <v>774</v>
      </c>
      <c r="D207" s="37" t="s">
        <v>806</v>
      </c>
      <c r="E207" s="37" t="s">
        <v>651</v>
      </c>
      <c r="F207" s="37" t="s">
        <v>255</v>
      </c>
      <c r="G207" s="37">
        <v>1</v>
      </c>
    </row>
    <row r="208" spans="1:7" s="37" customFormat="1" x14ac:dyDescent="0.25">
      <c r="A208" s="37" t="s">
        <v>50</v>
      </c>
      <c r="B208" s="37" t="s">
        <v>780</v>
      </c>
      <c r="C208" s="37" t="s">
        <v>774</v>
      </c>
      <c r="D208" s="37" t="s">
        <v>807</v>
      </c>
      <c r="E208" s="37" t="s">
        <v>653</v>
      </c>
      <c r="F208" s="37" t="s">
        <v>255</v>
      </c>
      <c r="G208" s="37">
        <v>1</v>
      </c>
    </row>
    <row r="209" spans="1:7" s="37" customFormat="1" x14ac:dyDescent="0.25">
      <c r="A209" s="37" t="s">
        <v>50</v>
      </c>
      <c r="B209" s="37" t="s">
        <v>780</v>
      </c>
      <c r="C209" s="37" t="s">
        <v>774</v>
      </c>
      <c r="D209" s="37" t="s">
        <v>808</v>
      </c>
      <c r="E209" s="37" t="s">
        <v>655</v>
      </c>
      <c r="F209" s="37" t="s">
        <v>255</v>
      </c>
      <c r="G209" s="37">
        <v>1</v>
      </c>
    </row>
    <row r="210" spans="1:7" s="37" customFormat="1" x14ac:dyDescent="0.25">
      <c r="A210" s="37" t="s">
        <v>50</v>
      </c>
      <c r="B210" s="37" t="s">
        <v>780</v>
      </c>
      <c r="C210" s="37" t="s">
        <v>780</v>
      </c>
      <c r="D210" s="37" t="s">
        <v>772</v>
      </c>
      <c r="E210" s="37" t="s">
        <v>657</v>
      </c>
      <c r="F210" s="37" t="s">
        <v>255</v>
      </c>
      <c r="G210" s="37">
        <v>1</v>
      </c>
    </row>
    <row r="211" spans="1:7" s="37" customFormat="1" x14ac:dyDescent="0.25">
      <c r="A211" s="37" t="s">
        <v>50</v>
      </c>
      <c r="B211" s="37" t="s">
        <v>780</v>
      </c>
      <c r="C211" s="37" t="s">
        <v>770</v>
      </c>
      <c r="D211" s="37" t="s">
        <v>772</v>
      </c>
      <c r="E211" s="37" t="s">
        <v>659</v>
      </c>
      <c r="F211" s="37" t="s">
        <v>255</v>
      </c>
      <c r="G211" s="37">
        <v>1</v>
      </c>
    </row>
    <row r="212" spans="1:7" s="37" customFormat="1" x14ac:dyDescent="0.25">
      <c r="A212" s="37" t="s">
        <v>50</v>
      </c>
      <c r="B212" s="37" t="s">
        <v>780</v>
      </c>
      <c r="C212" s="37" t="s">
        <v>777</v>
      </c>
      <c r="D212" s="37" t="s">
        <v>772</v>
      </c>
      <c r="E212" s="37" t="s">
        <v>661</v>
      </c>
      <c r="F212" s="37" t="s">
        <v>255</v>
      </c>
      <c r="G212" s="37">
        <v>1</v>
      </c>
    </row>
    <row r="213" spans="1:7" s="37" customFormat="1" x14ac:dyDescent="0.25">
      <c r="A213" s="37" t="s">
        <v>50</v>
      </c>
      <c r="B213" s="37" t="s">
        <v>770</v>
      </c>
      <c r="C213" s="37" t="s">
        <v>774</v>
      </c>
      <c r="D213" s="37" t="s">
        <v>772</v>
      </c>
      <c r="E213" s="37" t="s">
        <v>663</v>
      </c>
      <c r="F213" s="37" t="s">
        <v>255</v>
      </c>
      <c r="G213" s="37">
        <v>1</v>
      </c>
    </row>
    <row r="214" spans="1:7" s="37" customFormat="1" x14ac:dyDescent="0.25">
      <c r="A214" s="37" t="s">
        <v>50</v>
      </c>
      <c r="B214" s="37" t="s">
        <v>777</v>
      </c>
      <c r="C214" s="37" t="s">
        <v>774</v>
      </c>
      <c r="D214" s="37" t="s">
        <v>772</v>
      </c>
      <c r="E214" s="37" t="s">
        <v>666</v>
      </c>
      <c r="F214" s="37" t="s">
        <v>255</v>
      </c>
      <c r="G214" s="37">
        <v>1</v>
      </c>
    </row>
    <row r="215" spans="1:7" s="37" customFormat="1" x14ac:dyDescent="0.25">
      <c r="A215" s="37" t="s">
        <v>52</v>
      </c>
      <c r="B215" s="37" t="s">
        <v>774</v>
      </c>
      <c r="C215" s="37" t="s">
        <v>774</v>
      </c>
      <c r="D215" s="37" t="s">
        <v>774</v>
      </c>
      <c r="E215" s="37" t="s">
        <v>675</v>
      </c>
      <c r="F215" s="37" t="s">
        <v>676</v>
      </c>
      <c r="G215" s="37">
        <v>750</v>
      </c>
    </row>
    <row r="216" spans="1:7" s="37" customFormat="1" x14ac:dyDescent="0.25">
      <c r="A216" s="37" t="s">
        <v>52</v>
      </c>
      <c r="B216" s="37" t="s">
        <v>774</v>
      </c>
      <c r="C216" s="37" t="s">
        <v>774</v>
      </c>
      <c r="D216" s="37" t="s">
        <v>780</v>
      </c>
      <c r="E216" s="37" t="s">
        <v>678</v>
      </c>
      <c r="F216" s="37" t="s">
        <v>676</v>
      </c>
      <c r="G216" s="37">
        <v>750</v>
      </c>
    </row>
    <row r="217" spans="1:7" s="37" customFormat="1" x14ac:dyDescent="0.25">
      <c r="A217" s="37" t="s">
        <v>52</v>
      </c>
      <c r="B217" s="37" t="s">
        <v>774</v>
      </c>
      <c r="C217" s="37" t="s">
        <v>774</v>
      </c>
      <c r="D217" s="37" t="s">
        <v>770</v>
      </c>
      <c r="E217" s="37" t="s">
        <v>680</v>
      </c>
      <c r="F217" s="37" t="s">
        <v>676</v>
      </c>
      <c r="G217" s="37">
        <v>750</v>
      </c>
    </row>
    <row r="218" spans="1:7" s="37" customFormat="1" x14ac:dyDescent="0.25">
      <c r="A218" s="37" t="s">
        <v>52</v>
      </c>
      <c r="B218" s="37" t="s">
        <v>774</v>
      </c>
      <c r="C218" s="37" t="s">
        <v>774</v>
      </c>
      <c r="D218" s="37" t="s">
        <v>777</v>
      </c>
      <c r="E218" s="37" t="s">
        <v>682</v>
      </c>
      <c r="F218" s="37" t="s">
        <v>676</v>
      </c>
      <c r="G218" s="37">
        <v>500</v>
      </c>
    </row>
    <row r="219" spans="1:7" s="37" customFormat="1" x14ac:dyDescent="0.25">
      <c r="A219" s="37" t="s">
        <v>52</v>
      </c>
      <c r="B219" s="37" t="s">
        <v>774</v>
      </c>
      <c r="C219" s="37" t="s">
        <v>774</v>
      </c>
      <c r="D219" s="37" t="s">
        <v>782</v>
      </c>
      <c r="E219" s="37" t="s">
        <v>684</v>
      </c>
      <c r="F219" s="37" t="s">
        <v>676</v>
      </c>
      <c r="G219" s="37">
        <v>750</v>
      </c>
    </row>
    <row r="220" spans="1:7" s="37" customFormat="1" x14ac:dyDescent="0.25">
      <c r="A220" s="37" t="s">
        <v>52</v>
      </c>
      <c r="B220" s="37" t="s">
        <v>774</v>
      </c>
      <c r="C220" s="37" t="s">
        <v>774</v>
      </c>
      <c r="D220" s="37" t="s">
        <v>776</v>
      </c>
      <c r="E220" s="37" t="s">
        <v>686</v>
      </c>
      <c r="F220" s="37" t="s">
        <v>676</v>
      </c>
      <c r="G220" s="37">
        <v>750</v>
      </c>
    </row>
    <row r="221" spans="1:7" s="37" customFormat="1" x14ac:dyDescent="0.25">
      <c r="A221" s="37" t="s">
        <v>52</v>
      </c>
      <c r="B221" s="37" t="s">
        <v>774</v>
      </c>
      <c r="C221" s="37" t="s">
        <v>774</v>
      </c>
      <c r="D221" s="37" t="s">
        <v>44</v>
      </c>
      <c r="E221" s="37" t="s">
        <v>688</v>
      </c>
      <c r="F221" s="37" t="s">
        <v>676</v>
      </c>
      <c r="G221" s="37">
        <v>750</v>
      </c>
    </row>
    <row r="222" spans="1:7" s="37" customFormat="1" x14ac:dyDescent="0.25">
      <c r="A222" s="37" t="s">
        <v>52</v>
      </c>
      <c r="B222" s="37" t="s">
        <v>774</v>
      </c>
      <c r="C222" s="37" t="s">
        <v>774</v>
      </c>
      <c r="D222" s="37" t="s">
        <v>784</v>
      </c>
      <c r="E222" s="37" t="s">
        <v>690</v>
      </c>
      <c r="F222" s="37" t="s">
        <v>676</v>
      </c>
      <c r="G222" s="37">
        <v>750</v>
      </c>
    </row>
    <row r="223" spans="1:7" s="37" customFormat="1" x14ac:dyDescent="0.25">
      <c r="A223" s="37" t="s">
        <v>52</v>
      </c>
      <c r="B223" s="37" t="s">
        <v>774</v>
      </c>
      <c r="C223" s="37" t="s">
        <v>774</v>
      </c>
      <c r="D223" s="37" t="s">
        <v>50</v>
      </c>
      <c r="E223" s="37" t="s">
        <v>692</v>
      </c>
      <c r="F223" s="37" t="s">
        <v>676</v>
      </c>
      <c r="G223" s="37">
        <v>250</v>
      </c>
    </row>
    <row r="224" spans="1:7" s="37" customFormat="1" x14ac:dyDescent="0.25">
      <c r="A224" s="37" t="s">
        <v>52</v>
      </c>
      <c r="B224" s="37" t="s">
        <v>774</v>
      </c>
      <c r="C224" s="37" t="s">
        <v>774</v>
      </c>
      <c r="D224" s="37" t="s">
        <v>786</v>
      </c>
      <c r="E224" s="37" t="s">
        <v>694</v>
      </c>
      <c r="F224" s="37" t="s">
        <v>676</v>
      </c>
      <c r="G224" s="37">
        <v>250</v>
      </c>
    </row>
    <row r="225" spans="1:7" s="37" customFormat="1" x14ac:dyDescent="0.25">
      <c r="A225" s="37" t="s">
        <v>52</v>
      </c>
      <c r="B225" s="37" t="s">
        <v>774</v>
      </c>
      <c r="C225" s="37" t="s">
        <v>774</v>
      </c>
      <c r="D225" s="37" t="s">
        <v>809</v>
      </c>
      <c r="E225" s="37" t="s">
        <v>696</v>
      </c>
      <c r="F225" s="37" t="s">
        <v>676</v>
      </c>
      <c r="G225" s="37">
        <v>500</v>
      </c>
    </row>
    <row r="226" spans="1:7" s="37" customFormat="1" x14ac:dyDescent="0.25">
      <c r="A226" s="37" t="s">
        <v>52</v>
      </c>
      <c r="B226" s="37" t="s">
        <v>774</v>
      </c>
      <c r="C226" s="37" t="s">
        <v>774</v>
      </c>
      <c r="D226" s="37" t="s">
        <v>810</v>
      </c>
      <c r="E226" s="37" t="s">
        <v>698</v>
      </c>
      <c r="F226" s="37" t="s">
        <v>676</v>
      </c>
      <c r="G226" s="37">
        <v>1000</v>
      </c>
    </row>
    <row r="227" spans="1:7" s="37" customFormat="1" x14ac:dyDescent="0.25">
      <c r="A227" s="37" t="s">
        <v>52</v>
      </c>
      <c r="B227" s="37" t="s">
        <v>774</v>
      </c>
      <c r="C227" s="37" t="s">
        <v>774</v>
      </c>
      <c r="D227" s="37" t="s">
        <v>811</v>
      </c>
      <c r="E227" s="37" t="s">
        <v>700</v>
      </c>
      <c r="F227" s="37" t="s">
        <v>676</v>
      </c>
      <c r="G227" s="37">
        <v>1000</v>
      </c>
    </row>
    <row r="228" spans="1:7" s="37" customFormat="1" x14ac:dyDescent="0.25">
      <c r="A228" s="37" t="s">
        <v>52</v>
      </c>
      <c r="B228" s="37" t="s">
        <v>774</v>
      </c>
      <c r="C228" s="37" t="s">
        <v>774</v>
      </c>
      <c r="D228" s="37" t="s">
        <v>812</v>
      </c>
      <c r="E228" s="37" t="s">
        <v>702</v>
      </c>
      <c r="F228" s="37" t="s">
        <v>676</v>
      </c>
      <c r="G228" s="37">
        <v>250</v>
      </c>
    </row>
    <row r="229" spans="1:7" s="37" customFormat="1" x14ac:dyDescent="0.25">
      <c r="A229" s="37" t="s">
        <v>52</v>
      </c>
      <c r="B229" s="37" t="s">
        <v>774</v>
      </c>
      <c r="C229" s="37" t="s">
        <v>774</v>
      </c>
      <c r="D229" s="37" t="s">
        <v>813</v>
      </c>
      <c r="E229" s="37" t="s">
        <v>704</v>
      </c>
      <c r="F229" s="37" t="s">
        <v>676</v>
      </c>
      <c r="G229" s="37">
        <v>250</v>
      </c>
    </row>
    <row r="230" spans="1:7" s="37" customFormat="1" x14ac:dyDescent="0.25">
      <c r="A230" s="37" t="s">
        <v>52</v>
      </c>
      <c r="B230" s="37" t="s">
        <v>780</v>
      </c>
      <c r="C230" s="37" t="s">
        <v>774</v>
      </c>
      <c r="D230" s="37" t="s">
        <v>774</v>
      </c>
      <c r="E230" s="37" t="s">
        <v>710</v>
      </c>
      <c r="F230" s="37" t="s">
        <v>711</v>
      </c>
      <c r="G230" s="37">
        <v>4</v>
      </c>
    </row>
    <row r="231" spans="1:7" s="37" customFormat="1" x14ac:dyDescent="0.25">
      <c r="A231" s="37" t="s">
        <v>52</v>
      </c>
      <c r="B231" s="37" t="s">
        <v>780</v>
      </c>
      <c r="C231" s="37" t="s">
        <v>774</v>
      </c>
      <c r="D231" s="37" t="s">
        <v>770</v>
      </c>
      <c r="E231" s="37" t="s">
        <v>713</v>
      </c>
      <c r="F231" s="37" t="s">
        <v>711</v>
      </c>
      <c r="G231" s="37">
        <v>4</v>
      </c>
    </row>
    <row r="232" spans="1:7" s="37" customFormat="1" x14ac:dyDescent="0.25">
      <c r="A232" s="37" t="s">
        <v>52</v>
      </c>
      <c r="B232" s="37" t="s">
        <v>780</v>
      </c>
      <c r="C232" s="37" t="s">
        <v>774</v>
      </c>
      <c r="D232" s="37" t="s">
        <v>777</v>
      </c>
      <c r="E232" s="37" t="s">
        <v>715</v>
      </c>
      <c r="F232" s="37" t="s">
        <v>711</v>
      </c>
      <c r="G232" s="37">
        <v>4</v>
      </c>
    </row>
    <row r="233" spans="1:7" s="37" customFormat="1" x14ac:dyDescent="0.25">
      <c r="A233" s="37" t="s">
        <v>52</v>
      </c>
      <c r="B233" s="37" t="s">
        <v>780</v>
      </c>
      <c r="C233" s="37" t="s">
        <v>780</v>
      </c>
      <c r="D233" s="37" t="s">
        <v>773</v>
      </c>
      <c r="E233" s="37" t="s">
        <v>719</v>
      </c>
      <c r="F233" s="37" t="s">
        <v>515</v>
      </c>
      <c r="G233" s="37">
        <v>250</v>
      </c>
    </row>
    <row r="234" spans="1:7" s="37" customFormat="1" x14ac:dyDescent="0.25">
      <c r="A234" s="37" t="s">
        <v>52</v>
      </c>
      <c r="B234" s="37" t="s">
        <v>780</v>
      </c>
      <c r="C234" s="37" t="s">
        <v>780</v>
      </c>
      <c r="D234" s="37" t="s">
        <v>50</v>
      </c>
      <c r="E234" s="37" t="s">
        <v>721</v>
      </c>
      <c r="F234" s="37" t="s">
        <v>515</v>
      </c>
      <c r="G234" s="37">
        <v>250</v>
      </c>
    </row>
    <row r="235" spans="1:7" s="37" customFormat="1" x14ac:dyDescent="0.25">
      <c r="A235" s="37" t="s">
        <v>52</v>
      </c>
      <c r="B235" s="37" t="s">
        <v>780</v>
      </c>
      <c r="C235" s="37" t="s">
        <v>780</v>
      </c>
      <c r="D235" s="37" t="s">
        <v>809</v>
      </c>
      <c r="E235" s="37" t="s">
        <v>723</v>
      </c>
      <c r="F235" s="37" t="s">
        <v>515</v>
      </c>
      <c r="G235" s="37">
        <v>250</v>
      </c>
    </row>
    <row r="236" spans="1:7" s="37" customFormat="1" x14ac:dyDescent="0.25">
      <c r="A236" s="37" t="s">
        <v>52</v>
      </c>
      <c r="B236" s="37" t="s">
        <v>780</v>
      </c>
      <c r="C236" s="37" t="s">
        <v>780</v>
      </c>
      <c r="D236" s="37" t="s">
        <v>811</v>
      </c>
      <c r="E236" s="37" t="s">
        <v>725</v>
      </c>
      <c r="F236" s="37" t="s">
        <v>515</v>
      </c>
      <c r="G236" s="37">
        <v>250</v>
      </c>
    </row>
    <row r="237" spans="1:7" s="37" customFormat="1" x14ac:dyDescent="0.25">
      <c r="A237" s="37" t="s">
        <v>52</v>
      </c>
      <c r="B237" s="37" t="s">
        <v>780</v>
      </c>
      <c r="C237" s="37" t="s">
        <v>780</v>
      </c>
      <c r="D237" s="37" t="s">
        <v>814</v>
      </c>
      <c r="E237" s="37" t="s">
        <v>727</v>
      </c>
      <c r="F237" s="37" t="s">
        <v>515</v>
      </c>
      <c r="G237" s="37">
        <v>250</v>
      </c>
    </row>
    <row r="238" spans="1:7" s="37" customFormat="1" x14ac:dyDescent="0.25">
      <c r="A238" s="37" t="s">
        <v>52</v>
      </c>
      <c r="B238" s="37" t="s">
        <v>780</v>
      </c>
      <c r="C238" s="37" t="s">
        <v>780</v>
      </c>
      <c r="D238" s="37" t="s">
        <v>815</v>
      </c>
      <c r="E238" s="37" t="s">
        <v>729</v>
      </c>
      <c r="F238" s="37" t="s">
        <v>515</v>
      </c>
      <c r="G238" s="37">
        <v>250</v>
      </c>
    </row>
    <row r="239" spans="1:7" s="37" customFormat="1" x14ac:dyDescent="0.25">
      <c r="A239" s="37" t="s">
        <v>52</v>
      </c>
      <c r="B239" s="37" t="s">
        <v>780</v>
      </c>
      <c r="C239" s="37" t="s">
        <v>780</v>
      </c>
      <c r="D239" s="37" t="s">
        <v>816</v>
      </c>
      <c r="E239" s="37" t="s">
        <v>731</v>
      </c>
      <c r="F239" s="37" t="s">
        <v>515</v>
      </c>
      <c r="G239" s="37">
        <v>250</v>
      </c>
    </row>
    <row r="240" spans="1:7" s="37" customFormat="1" x14ac:dyDescent="0.25">
      <c r="A240" s="37" t="s">
        <v>52</v>
      </c>
      <c r="B240" s="37" t="s">
        <v>777</v>
      </c>
      <c r="C240" s="37" t="s">
        <v>774</v>
      </c>
      <c r="D240" s="37" t="s">
        <v>772</v>
      </c>
      <c r="E240" s="37" t="s">
        <v>735</v>
      </c>
      <c r="F240" s="37" t="s">
        <v>120</v>
      </c>
      <c r="G240" s="37">
        <v>25</v>
      </c>
    </row>
    <row r="241" spans="1:7" s="37" customFormat="1" x14ac:dyDescent="0.25">
      <c r="A241" s="37" t="s">
        <v>52</v>
      </c>
      <c r="B241" s="37" t="s">
        <v>777</v>
      </c>
      <c r="C241" s="37" t="s">
        <v>780</v>
      </c>
      <c r="D241" s="37" t="s">
        <v>772</v>
      </c>
      <c r="E241" s="37" t="s">
        <v>737</v>
      </c>
      <c r="F241" s="37" t="s">
        <v>711</v>
      </c>
      <c r="G241" s="37">
        <v>25</v>
      </c>
    </row>
    <row r="242" spans="1:7" s="37" customFormat="1" x14ac:dyDescent="0.25">
      <c r="A242" s="37" t="s">
        <v>52</v>
      </c>
      <c r="B242" s="37" t="s">
        <v>777</v>
      </c>
      <c r="C242" s="37" t="s">
        <v>771</v>
      </c>
      <c r="D242" s="37" t="s">
        <v>774</v>
      </c>
      <c r="E242" s="37" t="s">
        <v>740</v>
      </c>
      <c r="F242" s="37" t="s">
        <v>105</v>
      </c>
      <c r="G242" s="37">
        <v>250</v>
      </c>
    </row>
    <row r="243" spans="1:7" s="37" customFormat="1" x14ac:dyDescent="0.25">
      <c r="A243" s="37" t="s">
        <v>52</v>
      </c>
      <c r="B243" s="37" t="s">
        <v>777</v>
      </c>
      <c r="C243" s="37" t="s">
        <v>771</v>
      </c>
      <c r="D243" s="37" t="s">
        <v>780</v>
      </c>
      <c r="E243" s="37" t="s">
        <v>742</v>
      </c>
      <c r="F243" s="37" t="s">
        <v>105</v>
      </c>
      <c r="G243" s="37">
        <v>250</v>
      </c>
    </row>
    <row r="244" spans="1:7" s="37" customFormat="1" x14ac:dyDescent="0.25">
      <c r="A244" s="37" t="s">
        <v>52</v>
      </c>
      <c r="B244" s="37" t="s">
        <v>777</v>
      </c>
      <c r="C244" s="37" t="s">
        <v>775</v>
      </c>
      <c r="D244" s="37" t="s">
        <v>772</v>
      </c>
      <c r="E244" s="37" t="s">
        <v>744</v>
      </c>
      <c r="F244" s="37" t="s">
        <v>120</v>
      </c>
      <c r="G244" s="37">
        <v>50</v>
      </c>
    </row>
    <row r="245" spans="1:7" s="37" customFormat="1" x14ac:dyDescent="0.25">
      <c r="A245" s="37" t="s">
        <v>52</v>
      </c>
      <c r="B245" s="37" t="s">
        <v>777</v>
      </c>
      <c r="C245" s="37" t="s">
        <v>782</v>
      </c>
      <c r="D245" s="37" t="s">
        <v>772</v>
      </c>
      <c r="E245" s="37" t="s">
        <v>746</v>
      </c>
      <c r="F245" s="37" t="s">
        <v>747</v>
      </c>
      <c r="G245" s="37">
        <v>150</v>
      </c>
    </row>
    <row r="246" spans="1:7" s="37" customFormat="1" x14ac:dyDescent="0.25">
      <c r="A246" s="37" t="s">
        <v>52</v>
      </c>
      <c r="B246" s="37" t="s">
        <v>777</v>
      </c>
      <c r="C246" s="37" t="s">
        <v>784</v>
      </c>
      <c r="D246" s="37" t="s">
        <v>772</v>
      </c>
      <c r="E246" s="37" t="s">
        <v>749</v>
      </c>
      <c r="F246" s="37" t="s">
        <v>120</v>
      </c>
      <c r="G246" s="37">
        <v>25</v>
      </c>
    </row>
    <row r="247" spans="1:7" s="37" customFormat="1" x14ac:dyDescent="0.25">
      <c r="A247" s="37" t="s">
        <v>52</v>
      </c>
      <c r="B247" s="37" t="s">
        <v>777</v>
      </c>
      <c r="C247" s="37" t="s">
        <v>50</v>
      </c>
      <c r="D247" s="37" t="s">
        <v>774</v>
      </c>
      <c r="E247" s="37" t="s">
        <v>753</v>
      </c>
      <c r="F247" s="37" t="s">
        <v>120</v>
      </c>
      <c r="G247" s="37">
        <v>240</v>
      </c>
    </row>
    <row r="248" spans="1:7" s="37" customFormat="1" x14ac:dyDescent="0.25">
      <c r="A248" s="37" t="s">
        <v>52</v>
      </c>
      <c r="B248" s="37" t="s">
        <v>777</v>
      </c>
      <c r="C248" s="37" t="s">
        <v>50</v>
      </c>
      <c r="D248" s="37" t="s">
        <v>780</v>
      </c>
      <c r="E248" s="37" t="s">
        <v>755</v>
      </c>
      <c r="F248" s="37" t="s">
        <v>120</v>
      </c>
      <c r="G248" s="37">
        <v>240</v>
      </c>
    </row>
    <row r="249" spans="1:7" s="37" customFormat="1" x14ac:dyDescent="0.25">
      <c r="A249" s="37" t="s">
        <v>52</v>
      </c>
      <c r="B249" s="37" t="s">
        <v>777</v>
      </c>
      <c r="C249" s="37" t="s">
        <v>52</v>
      </c>
      <c r="D249" s="37" t="s">
        <v>772</v>
      </c>
      <c r="E249" s="37" t="s">
        <v>757</v>
      </c>
      <c r="F249" s="37" t="s">
        <v>120</v>
      </c>
      <c r="G249" s="37">
        <v>31</v>
      </c>
    </row>
    <row r="250" spans="1:7" s="37" customFormat="1" x14ac:dyDescent="0.25">
      <c r="A250" s="37" t="s">
        <v>52</v>
      </c>
      <c r="B250" s="37" t="s">
        <v>777</v>
      </c>
      <c r="C250" s="37" t="s">
        <v>786</v>
      </c>
      <c r="D250" s="37" t="s">
        <v>772</v>
      </c>
      <c r="E250" s="37" t="s">
        <v>759</v>
      </c>
      <c r="F250" s="37" t="s">
        <v>120</v>
      </c>
      <c r="G250" s="37">
        <v>10</v>
      </c>
    </row>
    <row r="251" spans="1:7" s="37" customFormat="1" x14ac:dyDescent="0.25">
      <c r="A251" s="37" t="s">
        <v>52</v>
      </c>
      <c r="B251" s="37" t="s">
        <v>777</v>
      </c>
      <c r="C251" s="37" t="s">
        <v>809</v>
      </c>
      <c r="D251" s="37" t="s">
        <v>772</v>
      </c>
      <c r="E251" s="37" t="s">
        <v>761</v>
      </c>
      <c r="F251" s="37" t="s">
        <v>120</v>
      </c>
      <c r="G251" s="37">
        <v>25</v>
      </c>
    </row>
    <row r="252" spans="1:7" s="37" customFormat="1" x14ac:dyDescent="0.25">
      <c r="A252" s="37" t="s">
        <v>52</v>
      </c>
      <c r="B252" s="37" t="s">
        <v>777</v>
      </c>
      <c r="C252" s="37" t="s">
        <v>778</v>
      </c>
      <c r="D252" s="37" t="s">
        <v>772</v>
      </c>
      <c r="E252" s="37" t="s">
        <v>763</v>
      </c>
      <c r="F252" s="37" t="s">
        <v>135</v>
      </c>
      <c r="G252" s="37">
        <v>100</v>
      </c>
    </row>
  </sheetData>
  <pageMargins left="0.6" right="0.4" top="0.6" bottom="0.4" header="0.2" footer="0.2"/>
  <pageSetup paperSize="8" fitToHeight="0" orientation="landscape" horizontalDpi="2400" verticalDpi="2400" r:id="rId1"/>
  <headerFooter>
    <oddFooter>1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X352"/>
  <sheetViews>
    <sheetView workbookViewId="0"/>
  </sheetViews>
  <sheetFormatPr defaultRowHeight="15" x14ac:dyDescent="0.25"/>
  <cols>
    <col min="1" max="2" width="12" customWidth="1"/>
    <col min="3" max="3" width="75" customWidth="1"/>
    <col min="4" max="24" width="20" customWidth="1"/>
  </cols>
  <sheetData>
    <row r="1" spans="1:24" s="28" customFormat="1" ht="90" customHeight="1" x14ac:dyDescent="0.25">
      <c r="A1" s="28" t="s">
        <v>817</v>
      </c>
      <c r="B1" s="46" t="s">
        <v>79</v>
      </c>
      <c r="C1" s="28" t="s">
        <v>818</v>
      </c>
      <c r="D1" s="47" t="s">
        <v>80</v>
      </c>
      <c r="E1" s="47" t="s">
        <v>81</v>
      </c>
      <c r="F1" s="47" t="s">
        <v>82</v>
      </c>
      <c r="G1" s="47" t="s">
        <v>83</v>
      </c>
      <c r="H1" s="47" t="s">
        <v>84</v>
      </c>
      <c r="I1" s="47" t="s">
        <v>85</v>
      </c>
      <c r="J1" s="47" t="s">
        <v>86</v>
      </c>
      <c r="K1" s="47" t="s">
        <v>87</v>
      </c>
      <c r="L1" s="47" t="s">
        <v>88</v>
      </c>
      <c r="M1" s="47" t="s">
        <v>89</v>
      </c>
      <c r="N1" s="47" t="s">
        <v>90</v>
      </c>
      <c r="O1" s="47" t="s">
        <v>91</v>
      </c>
      <c r="P1" s="47" t="s">
        <v>92</v>
      </c>
      <c r="Q1" s="47" t="s">
        <v>93</v>
      </c>
      <c r="R1" s="47" t="s">
        <v>94</v>
      </c>
      <c r="S1" s="47" t="s">
        <v>95</v>
      </c>
      <c r="T1" s="48" t="s">
        <v>96</v>
      </c>
      <c r="U1" s="47" t="s">
        <v>97</v>
      </c>
      <c r="V1" s="47" t="s">
        <v>819</v>
      </c>
      <c r="W1" s="47" t="s">
        <v>820</v>
      </c>
      <c r="X1" s="47" t="s">
        <v>821</v>
      </c>
    </row>
    <row r="2" spans="1:24" s="32" customFormat="1" ht="15.75" x14ac:dyDescent="0.25">
      <c r="A2" s="32">
        <v>3</v>
      </c>
      <c r="B2" s="32" t="s">
        <v>32</v>
      </c>
      <c r="C2" s="32" t="s">
        <v>33</v>
      </c>
      <c r="D2" s="33" t="str">
        <f>'3 Spor'!C2</f>
        <v/>
      </c>
      <c r="E2" s="32">
        <f>'3 Spor'!D2</f>
        <v>0</v>
      </c>
      <c r="F2" s="32">
        <f>'3 Spor'!E2</f>
        <v>0</v>
      </c>
      <c r="G2" s="32">
        <f>'3 Spor'!F2</f>
        <v>0</v>
      </c>
      <c r="H2" s="32">
        <f>'3 Spor'!G2</f>
        <v>0</v>
      </c>
      <c r="I2" s="32">
        <f>'3 Spor'!H2</f>
        <v>0</v>
      </c>
      <c r="J2" s="32">
        <f>'3 Spor'!I2</f>
        <v>0</v>
      </c>
      <c r="K2" s="32">
        <f>'3 Spor'!J2</f>
        <v>0</v>
      </c>
      <c r="L2" s="32">
        <f>'3 Spor'!K2</f>
        <v>0</v>
      </c>
      <c r="M2" s="32">
        <f>'3 Spor'!L2</f>
        <v>0</v>
      </c>
      <c r="N2" s="32">
        <f>'3 Spor'!M2</f>
        <v>0</v>
      </c>
      <c r="O2" s="32">
        <f>'3 Spor'!N2</f>
        <v>0</v>
      </c>
      <c r="P2" s="32">
        <f>'3 Spor'!O2</f>
        <v>0</v>
      </c>
      <c r="Q2" s="32">
        <f>'3 Spor'!P2</f>
        <v>0</v>
      </c>
      <c r="R2" s="32">
        <f>'3 Spor'!Q2</f>
        <v>0</v>
      </c>
      <c r="S2" s="32">
        <f>'3 Spor'!R2</f>
        <v>0</v>
      </c>
      <c r="T2" s="34">
        <f>'3 Spor'!S2</f>
        <v>0</v>
      </c>
      <c r="U2" s="35">
        <f>'3 Spor'!T2</f>
        <v>0</v>
      </c>
      <c r="V2" s="32" t="s">
        <v>98</v>
      </c>
      <c r="W2" s="32" t="s">
        <v>98</v>
      </c>
      <c r="X2" s="32" t="s">
        <v>98</v>
      </c>
    </row>
    <row r="3" spans="1:24" s="36" customFormat="1" x14ac:dyDescent="0.25">
      <c r="A3" s="28">
        <v>4</v>
      </c>
      <c r="B3" s="28" t="s">
        <v>99</v>
      </c>
      <c r="C3" s="28" t="s">
        <v>100</v>
      </c>
      <c r="D3" s="50" t="str">
        <f>'3 Spor'!C3</f>
        <v/>
      </c>
      <c r="E3" s="28">
        <f>'3 Spor'!D3</f>
        <v>0</v>
      </c>
      <c r="F3" s="28">
        <f>'3 Spor'!E3</f>
        <v>0</v>
      </c>
      <c r="G3" s="28">
        <f>'3 Spor'!F3</f>
        <v>0</v>
      </c>
      <c r="H3" s="28">
        <f>'3 Spor'!G3</f>
        <v>0</v>
      </c>
      <c r="I3" s="28">
        <f>'3 Spor'!H3</f>
        <v>0</v>
      </c>
      <c r="J3" s="28">
        <f>'3 Spor'!I3</f>
        <v>0</v>
      </c>
      <c r="K3" s="28">
        <f>'3 Spor'!J3</f>
        <v>0</v>
      </c>
      <c r="L3" s="28">
        <f>'3 Spor'!K3</f>
        <v>0</v>
      </c>
      <c r="M3" s="28">
        <f>'3 Spor'!L3</f>
        <v>0</v>
      </c>
      <c r="N3" s="28">
        <f>'3 Spor'!M3</f>
        <v>0</v>
      </c>
      <c r="O3" s="28">
        <f>'3 Spor'!N3</f>
        <v>0</v>
      </c>
      <c r="P3" s="28">
        <f>'3 Spor'!O3</f>
        <v>0</v>
      </c>
      <c r="Q3" s="28">
        <f>'3 Spor'!P3</f>
        <v>0</v>
      </c>
      <c r="R3" s="28">
        <f>'3 Spor'!Q3</f>
        <v>0</v>
      </c>
      <c r="S3" s="28">
        <f>'3 Spor'!R3</f>
        <v>0</v>
      </c>
      <c r="T3" s="51">
        <f>'3 Spor'!S3</f>
        <v>0</v>
      </c>
      <c r="U3" s="52">
        <f>'3 Spor'!T3</f>
        <v>0</v>
      </c>
      <c r="V3" s="28" t="s">
        <v>98</v>
      </c>
      <c r="W3" s="28" t="s">
        <v>98</v>
      </c>
      <c r="X3" s="28" t="s">
        <v>98</v>
      </c>
    </row>
    <row r="4" spans="1:24" s="36" customFormat="1" x14ac:dyDescent="0.25">
      <c r="A4" s="28">
        <v>4</v>
      </c>
      <c r="B4" s="28" t="s">
        <v>101</v>
      </c>
      <c r="C4" s="28" t="s">
        <v>102</v>
      </c>
      <c r="D4" s="50" t="str">
        <f>'3 Spor'!C4</f>
        <v/>
      </c>
      <c r="E4" s="28">
        <f>'3 Spor'!D4</f>
        <v>0</v>
      </c>
      <c r="F4" s="28">
        <f>'3 Spor'!E4</f>
        <v>0</v>
      </c>
      <c r="G4" s="28">
        <f>'3 Spor'!F4</f>
        <v>0</v>
      </c>
      <c r="H4" s="28">
        <f>'3 Spor'!G4</f>
        <v>0</v>
      </c>
      <c r="I4" s="28">
        <f>'3 Spor'!H4</f>
        <v>0</v>
      </c>
      <c r="J4" s="28">
        <f>'3 Spor'!I4</f>
        <v>0</v>
      </c>
      <c r="K4" s="28">
        <f>'3 Spor'!J4</f>
        <v>0</v>
      </c>
      <c r="L4" s="28">
        <f>'3 Spor'!K4</f>
        <v>0</v>
      </c>
      <c r="M4" s="28">
        <f>'3 Spor'!L4</f>
        <v>0</v>
      </c>
      <c r="N4" s="28">
        <f>'3 Spor'!M4</f>
        <v>0</v>
      </c>
      <c r="O4" s="28">
        <f>'3 Spor'!N4</f>
        <v>0</v>
      </c>
      <c r="P4" s="28">
        <f>'3 Spor'!O4</f>
        <v>0</v>
      </c>
      <c r="Q4" s="28">
        <f>'3 Spor'!P4</f>
        <v>0</v>
      </c>
      <c r="R4" s="28">
        <f>'3 Spor'!Q4</f>
        <v>0</v>
      </c>
      <c r="S4" s="28">
        <f>'3 Spor'!R4</f>
        <v>0</v>
      </c>
      <c r="T4" s="51">
        <f>'3 Spor'!S4</f>
        <v>0</v>
      </c>
      <c r="U4" s="52">
        <f>'3 Spor'!T4</f>
        <v>0</v>
      </c>
      <c r="V4" s="28" t="s">
        <v>98</v>
      </c>
      <c r="W4" s="28" t="s">
        <v>98</v>
      </c>
      <c r="X4" s="28" t="s">
        <v>98</v>
      </c>
    </row>
    <row r="5" spans="1:24" s="37" customFormat="1" x14ac:dyDescent="0.25">
      <c r="A5" s="37">
        <v>5</v>
      </c>
      <c r="B5" s="37" t="s">
        <v>103</v>
      </c>
      <c r="C5" s="37" t="s">
        <v>104</v>
      </c>
      <c r="D5" s="38" t="str">
        <f>'3 Spor'!C5</f>
        <v>M</v>
      </c>
      <c r="E5" s="37">
        <f>'3 Spor'!D5</f>
        <v>0</v>
      </c>
      <c r="F5" s="37">
        <f>'3 Spor'!E5</f>
        <v>492</v>
      </c>
      <c r="G5" s="37">
        <f>'3 Spor'!F5</f>
        <v>0</v>
      </c>
      <c r="H5" s="37">
        <f>'3 Spor'!G5</f>
        <v>143</v>
      </c>
      <c r="I5" s="37">
        <f>'3 Spor'!H5</f>
        <v>0</v>
      </c>
      <c r="J5" s="37">
        <f>'3 Spor'!I5</f>
        <v>140</v>
      </c>
      <c r="K5" s="37">
        <f>'3 Spor'!J5</f>
        <v>0</v>
      </c>
      <c r="L5" s="37">
        <f>'3 Spor'!K5</f>
        <v>0</v>
      </c>
      <c r="M5" s="37">
        <f>'3 Spor'!L5</f>
        <v>0</v>
      </c>
      <c r="N5" s="37">
        <f>'3 Spor'!M5</f>
        <v>0</v>
      </c>
      <c r="O5" s="37">
        <f>'3 Spor'!N5</f>
        <v>0</v>
      </c>
      <c r="P5" s="37">
        <f>'3 Spor'!O5</f>
        <v>0</v>
      </c>
      <c r="Q5" s="37">
        <f>'3 Spor'!P5</f>
        <v>0</v>
      </c>
      <c r="R5" s="37">
        <f>'3 Spor'!Q5</f>
        <v>0</v>
      </c>
      <c r="S5" s="37">
        <f>'3 Spor'!R5</f>
        <v>775</v>
      </c>
      <c r="T5" s="39">
        <f>'3 Spor'!S5</f>
        <v>7494</v>
      </c>
      <c r="U5" s="40">
        <f>'3 Spor'!T5</f>
        <v>5807850</v>
      </c>
      <c r="V5" s="37" t="s">
        <v>98</v>
      </c>
      <c r="W5" s="37" t="s">
        <v>62</v>
      </c>
      <c r="X5" s="37" t="s">
        <v>98</v>
      </c>
    </row>
    <row r="6" spans="1:24" s="36" customFormat="1" x14ac:dyDescent="0.25">
      <c r="A6" s="28">
        <v>4</v>
      </c>
      <c r="B6" s="28" t="s">
        <v>106</v>
      </c>
      <c r="C6" s="28" t="s">
        <v>107</v>
      </c>
      <c r="D6" s="50" t="str">
        <f>'3 Spor'!C6</f>
        <v/>
      </c>
      <c r="E6" s="28">
        <f>'3 Spor'!D6</f>
        <v>0</v>
      </c>
      <c r="F6" s="28">
        <f>'3 Spor'!E6</f>
        <v>0</v>
      </c>
      <c r="G6" s="28">
        <f>'3 Spor'!F6</f>
        <v>0</v>
      </c>
      <c r="H6" s="28">
        <f>'3 Spor'!G6</f>
        <v>0</v>
      </c>
      <c r="I6" s="28">
        <f>'3 Spor'!H6</f>
        <v>0</v>
      </c>
      <c r="J6" s="28">
        <f>'3 Spor'!I6</f>
        <v>0</v>
      </c>
      <c r="K6" s="28">
        <f>'3 Spor'!J6</f>
        <v>0</v>
      </c>
      <c r="L6" s="28">
        <f>'3 Spor'!K6</f>
        <v>0</v>
      </c>
      <c r="M6" s="28">
        <f>'3 Spor'!L6</f>
        <v>0</v>
      </c>
      <c r="N6" s="28">
        <f>'3 Spor'!M6</f>
        <v>0</v>
      </c>
      <c r="O6" s="28">
        <f>'3 Spor'!N6</f>
        <v>0</v>
      </c>
      <c r="P6" s="28">
        <f>'3 Spor'!O6</f>
        <v>0</v>
      </c>
      <c r="Q6" s="28">
        <f>'3 Spor'!P6</f>
        <v>0</v>
      </c>
      <c r="R6" s="28">
        <f>'3 Spor'!Q6</f>
        <v>0</v>
      </c>
      <c r="S6" s="28">
        <f>'3 Spor'!R6</f>
        <v>0</v>
      </c>
      <c r="T6" s="51">
        <f>'3 Spor'!S6</f>
        <v>0</v>
      </c>
      <c r="U6" s="52">
        <f>'3 Spor'!T6</f>
        <v>0</v>
      </c>
      <c r="V6" s="28" t="s">
        <v>98</v>
      </c>
      <c r="W6" s="28" t="s">
        <v>98</v>
      </c>
      <c r="X6" s="28" t="s">
        <v>98</v>
      </c>
    </row>
    <row r="7" spans="1:24" s="37" customFormat="1" x14ac:dyDescent="0.25">
      <c r="A7" s="37">
        <v>5</v>
      </c>
      <c r="B7" s="37" t="s">
        <v>108</v>
      </c>
      <c r="C7" s="37" t="s">
        <v>109</v>
      </c>
      <c r="D7" s="38" t="str">
        <f>'3 Spor'!C7</f>
        <v/>
      </c>
      <c r="E7" s="37">
        <f>'3 Spor'!D7</f>
        <v>0</v>
      </c>
      <c r="F7" s="37">
        <f>'3 Spor'!E7</f>
        <v>0</v>
      </c>
      <c r="G7" s="37">
        <f>'3 Spor'!F7</f>
        <v>0</v>
      </c>
      <c r="H7" s="37">
        <f>'3 Spor'!G7</f>
        <v>0</v>
      </c>
      <c r="I7" s="37">
        <f>'3 Spor'!H7</f>
        <v>0</v>
      </c>
      <c r="J7" s="37">
        <f>'3 Spor'!I7</f>
        <v>0</v>
      </c>
      <c r="K7" s="37">
        <f>'3 Spor'!J7</f>
        <v>0</v>
      </c>
      <c r="L7" s="37">
        <f>'3 Spor'!K7</f>
        <v>0</v>
      </c>
      <c r="M7" s="37">
        <f>'3 Spor'!L7</f>
        <v>0</v>
      </c>
      <c r="N7" s="37">
        <f>'3 Spor'!M7</f>
        <v>0</v>
      </c>
      <c r="O7" s="37">
        <f>'3 Spor'!N7</f>
        <v>0</v>
      </c>
      <c r="P7" s="37">
        <f>'3 Spor'!O7</f>
        <v>0</v>
      </c>
      <c r="Q7" s="37">
        <f>'3 Spor'!P7</f>
        <v>0</v>
      </c>
      <c r="R7" s="37">
        <f>'3 Spor'!Q7</f>
        <v>0</v>
      </c>
      <c r="S7" s="37">
        <f>'3 Spor'!R7</f>
        <v>0</v>
      </c>
      <c r="T7" s="39">
        <f>'3 Spor'!S7</f>
        <v>0</v>
      </c>
      <c r="U7" s="40">
        <f>'3 Spor'!T7</f>
        <v>0</v>
      </c>
      <c r="V7" s="37" t="s">
        <v>98</v>
      </c>
      <c r="W7" s="37" t="s">
        <v>98</v>
      </c>
      <c r="X7" s="37" t="s">
        <v>98</v>
      </c>
    </row>
    <row r="8" spans="1:24" s="37" customFormat="1" x14ac:dyDescent="0.25">
      <c r="A8" s="37">
        <v>6</v>
      </c>
      <c r="B8" s="37" t="s">
        <v>110</v>
      </c>
      <c r="C8" s="37" t="s">
        <v>111</v>
      </c>
      <c r="D8" s="38" t="str">
        <f>'3 Spor'!C8</f>
        <v>M</v>
      </c>
      <c r="E8" s="37">
        <f>'3 Spor'!D8</f>
        <v>0</v>
      </c>
      <c r="F8" s="37">
        <f>'3 Spor'!E8</f>
        <v>0</v>
      </c>
      <c r="G8" s="37">
        <f>'3 Spor'!F8</f>
        <v>0</v>
      </c>
      <c r="H8" s="37">
        <f>'3 Spor'!G8</f>
        <v>0</v>
      </c>
      <c r="I8" s="37">
        <f>'3 Spor'!H8</f>
        <v>0</v>
      </c>
      <c r="J8" s="37">
        <f>'3 Spor'!I8</f>
        <v>18000</v>
      </c>
      <c r="K8" s="37">
        <f>'3 Spor'!J8</f>
        <v>0</v>
      </c>
      <c r="L8" s="37">
        <f>'3 Spor'!K8</f>
        <v>0</v>
      </c>
      <c r="M8" s="37">
        <f>'3 Spor'!L8</f>
        <v>0</v>
      </c>
      <c r="N8" s="37">
        <f>'3 Spor'!M8</f>
        <v>0</v>
      </c>
      <c r="O8" s="37">
        <f>'3 Spor'!N8</f>
        <v>0</v>
      </c>
      <c r="P8" s="37">
        <f>'3 Spor'!O8</f>
        <v>0</v>
      </c>
      <c r="Q8" s="37">
        <f>'3 Spor'!P8</f>
        <v>0</v>
      </c>
      <c r="R8" s="37">
        <f>'3 Spor'!Q8</f>
        <v>0</v>
      </c>
      <c r="S8" s="37">
        <f>'3 Spor'!R8</f>
        <v>18000</v>
      </c>
      <c r="T8" s="39">
        <f>'3 Spor'!S8</f>
        <v>101</v>
      </c>
      <c r="U8" s="40">
        <f>'3 Spor'!T8</f>
        <v>1818000</v>
      </c>
      <c r="V8" s="37" t="s">
        <v>98</v>
      </c>
      <c r="W8" s="37" t="s">
        <v>822</v>
      </c>
      <c r="X8" s="37" t="s">
        <v>98</v>
      </c>
    </row>
    <row r="9" spans="1:24" s="36" customFormat="1" x14ac:dyDescent="0.25">
      <c r="A9" s="28">
        <v>4</v>
      </c>
      <c r="B9" s="28" t="s">
        <v>112</v>
      </c>
      <c r="C9" s="28" t="s">
        <v>113</v>
      </c>
      <c r="D9" s="50" t="str">
        <f>'3 Spor'!C9</f>
        <v/>
      </c>
      <c r="E9" s="28">
        <f>'3 Spor'!D9</f>
        <v>0</v>
      </c>
      <c r="F9" s="28">
        <f>'3 Spor'!E9</f>
        <v>0</v>
      </c>
      <c r="G9" s="28">
        <f>'3 Spor'!F9</f>
        <v>0</v>
      </c>
      <c r="H9" s="28">
        <f>'3 Spor'!G9</f>
        <v>0</v>
      </c>
      <c r="I9" s="28">
        <f>'3 Spor'!H9</f>
        <v>0</v>
      </c>
      <c r="J9" s="28">
        <f>'3 Spor'!I9</f>
        <v>0</v>
      </c>
      <c r="K9" s="28">
        <f>'3 Spor'!J9</f>
        <v>0</v>
      </c>
      <c r="L9" s="28">
        <f>'3 Spor'!K9</f>
        <v>0</v>
      </c>
      <c r="M9" s="28">
        <f>'3 Spor'!L9</f>
        <v>0</v>
      </c>
      <c r="N9" s="28">
        <f>'3 Spor'!M9</f>
        <v>0</v>
      </c>
      <c r="O9" s="28">
        <f>'3 Spor'!N9</f>
        <v>0</v>
      </c>
      <c r="P9" s="28">
        <f>'3 Spor'!O9</f>
        <v>0</v>
      </c>
      <c r="Q9" s="28">
        <f>'3 Spor'!P9</f>
        <v>0</v>
      </c>
      <c r="R9" s="28">
        <f>'3 Spor'!Q9</f>
        <v>0</v>
      </c>
      <c r="S9" s="28">
        <f>'3 Spor'!R9</f>
        <v>0</v>
      </c>
      <c r="T9" s="51">
        <f>'3 Spor'!S9</f>
        <v>0</v>
      </c>
      <c r="U9" s="52">
        <f>'3 Spor'!T9</f>
        <v>0</v>
      </c>
      <c r="V9" s="28" t="s">
        <v>98</v>
      </c>
      <c r="W9" s="28" t="s">
        <v>98</v>
      </c>
      <c r="X9" s="28" t="s">
        <v>98</v>
      </c>
    </row>
    <row r="10" spans="1:24" s="37" customFormat="1" x14ac:dyDescent="0.25">
      <c r="A10" s="37">
        <v>5</v>
      </c>
      <c r="B10" s="37" t="s">
        <v>114</v>
      </c>
      <c r="C10" s="37" t="s">
        <v>115</v>
      </c>
      <c r="D10" s="38" t="str">
        <f>'3 Spor'!C10</f>
        <v>M</v>
      </c>
      <c r="E10" s="37">
        <f>'3 Spor'!D10</f>
        <v>0</v>
      </c>
      <c r="F10" s="37">
        <f>'3 Spor'!E10</f>
        <v>492</v>
      </c>
      <c r="G10" s="37">
        <f>'3 Spor'!F10</f>
        <v>0</v>
      </c>
      <c r="H10" s="37">
        <f>'3 Spor'!G10</f>
        <v>143</v>
      </c>
      <c r="I10" s="37">
        <f>'3 Spor'!H10</f>
        <v>0</v>
      </c>
      <c r="J10" s="37">
        <f>'3 Spor'!I10</f>
        <v>140</v>
      </c>
      <c r="K10" s="37">
        <f>'3 Spor'!J10</f>
        <v>0</v>
      </c>
      <c r="L10" s="37">
        <f>'3 Spor'!K10</f>
        <v>0</v>
      </c>
      <c r="M10" s="37">
        <f>'3 Spor'!L10</f>
        <v>0</v>
      </c>
      <c r="N10" s="37">
        <f>'3 Spor'!M10</f>
        <v>0</v>
      </c>
      <c r="O10" s="37">
        <f>'3 Spor'!N10</f>
        <v>0</v>
      </c>
      <c r="P10" s="37">
        <f>'3 Spor'!O10</f>
        <v>0</v>
      </c>
      <c r="Q10" s="37">
        <f>'3 Spor'!P10</f>
        <v>0</v>
      </c>
      <c r="R10" s="37">
        <f>'3 Spor'!Q10</f>
        <v>0</v>
      </c>
      <c r="S10" s="37">
        <f>'3 Spor'!R10</f>
        <v>775</v>
      </c>
      <c r="T10" s="39">
        <f>'3 Spor'!S10</f>
        <v>1008</v>
      </c>
      <c r="U10" s="40">
        <f>'3 Spor'!T10</f>
        <v>781200</v>
      </c>
      <c r="V10" s="37" t="s">
        <v>823</v>
      </c>
      <c r="W10" s="37" t="s">
        <v>822</v>
      </c>
      <c r="X10" s="37" t="s">
        <v>98</v>
      </c>
    </row>
    <row r="11" spans="1:24" s="37" customFormat="1" x14ac:dyDescent="0.25">
      <c r="A11" s="37">
        <v>5</v>
      </c>
      <c r="B11" s="37" t="s">
        <v>116</v>
      </c>
      <c r="C11" s="37" t="s">
        <v>117</v>
      </c>
      <c r="D11" s="38" t="str">
        <f>'3 Spor'!C11</f>
        <v>M</v>
      </c>
      <c r="E11" s="37">
        <f>'3 Spor'!D11</f>
        <v>0</v>
      </c>
      <c r="F11" s="37">
        <f>'3 Spor'!E11</f>
        <v>0</v>
      </c>
      <c r="G11" s="37">
        <f>'3 Spor'!F11</f>
        <v>0</v>
      </c>
      <c r="H11" s="37">
        <f>'3 Spor'!G11</f>
        <v>0</v>
      </c>
      <c r="I11" s="37">
        <f>'3 Spor'!H11</f>
        <v>0</v>
      </c>
      <c r="J11" s="37">
        <f>'3 Spor'!I11</f>
        <v>18000</v>
      </c>
      <c r="K11" s="37">
        <f>'3 Spor'!J11</f>
        <v>0</v>
      </c>
      <c r="L11" s="37">
        <f>'3 Spor'!K11</f>
        <v>0</v>
      </c>
      <c r="M11" s="37">
        <f>'3 Spor'!L11</f>
        <v>0</v>
      </c>
      <c r="N11" s="37">
        <f>'3 Spor'!M11</f>
        <v>0</v>
      </c>
      <c r="O11" s="37">
        <f>'3 Spor'!N11</f>
        <v>0</v>
      </c>
      <c r="P11" s="37">
        <f>'3 Spor'!O11</f>
        <v>0</v>
      </c>
      <c r="Q11" s="37">
        <f>'3 Spor'!P11</f>
        <v>0</v>
      </c>
      <c r="R11" s="37">
        <f>'3 Spor'!Q11</f>
        <v>0</v>
      </c>
      <c r="S11" s="37">
        <f>'3 Spor'!R11</f>
        <v>18000</v>
      </c>
      <c r="T11" s="39">
        <f>'3 Spor'!S11</f>
        <v>145</v>
      </c>
      <c r="U11" s="40">
        <f>'3 Spor'!T11</f>
        <v>2610000</v>
      </c>
      <c r="V11" s="37" t="s">
        <v>98</v>
      </c>
      <c r="W11" s="37" t="s">
        <v>822</v>
      </c>
      <c r="X11" s="37" t="s">
        <v>98</v>
      </c>
    </row>
    <row r="12" spans="1:24" s="37" customFormat="1" x14ac:dyDescent="0.25">
      <c r="A12" s="37">
        <v>5</v>
      </c>
      <c r="B12" s="37" t="s">
        <v>118</v>
      </c>
      <c r="C12" s="37" t="s">
        <v>119</v>
      </c>
      <c r="D12" s="38" t="str">
        <f>'3 Spor'!C12</f>
        <v>STK</v>
      </c>
      <c r="E12" s="37">
        <f>'3 Spor'!D12</f>
        <v>0</v>
      </c>
      <c r="F12" s="37">
        <f>'3 Spor'!E12</f>
        <v>0</v>
      </c>
      <c r="G12" s="37">
        <f>'3 Spor'!F12</f>
        <v>0</v>
      </c>
      <c r="H12" s="37">
        <f>'3 Spor'!G12</f>
        <v>0</v>
      </c>
      <c r="I12" s="37">
        <f>'3 Spor'!H12</f>
        <v>0</v>
      </c>
      <c r="J12" s="37">
        <f>'3 Spor'!I12</f>
        <v>4</v>
      </c>
      <c r="K12" s="37">
        <f>'3 Spor'!J12</f>
        <v>0</v>
      </c>
      <c r="L12" s="37">
        <f>'3 Spor'!K12</f>
        <v>0</v>
      </c>
      <c r="M12" s="37">
        <f>'3 Spor'!L12</f>
        <v>0</v>
      </c>
      <c r="N12" s="37">
        <f>'3 Spor'!M12</f>
        <v>0</v>
      </c>
      <c r="O12" s="37">
        <f>'3 Spor'!N12</f>
        <v>0</v>
      </c>
      <c r="P12" s="37">
        <f>'3 Spor'!O12</f>
        <v>0</v>
      </c>
      <c r="Q12" s="37">
        <f>'3 Spor'!P12</f>
        <v>0</v>
      </c>
      <c r="R12" s="37">
        <f>'3 Spor'!Q12</f>
        <v>0</v>
      </c>
      <c r="S12" s="37">
        <f>'3 Spor'!R12</f>
        <v>4</v>
      </c>
      <c r="T12" s="39">
        <f>'3 Spor'!S12</f>
        <v>122531</v>
      </c>
      <c r="U12" s="40">
        <f>'3 Spor'!T12</f>
        <v>490124</v>
      </c>
      <c r="V12" s="37" t="s">
        <v>98</v>
      </c>
      <c r="W12" s="37" t="s">
        <v>822</v>
      </c>
      <c r="X12" s="37" t="s">
        <v>98</v>
      </c>
    </row>
    <row r="13" spans="1:24" s="37" customFormat="1" x14ac:dyDescent="0.25">
      <c r="A13" s="37">
        <v>5</v>
      </c>
      <c r="B13" s="37" t="s">
        <v>121</v>
      </c>
      <c r="C13" s="37" t="s">
        <v>122</v>
      </c>
      <c r="D13" s="38" t="str">
        <f>'3 Spor'!C13</f>
        <v>M</v>
      </c>
      <c r="E13" s="37">
        <f>'3 Spor'!D13</f>
        <v>0</v>
      </c>
      <c r="F13" s="37">
        <f>'3 Spor'!E13</f>
        <v>0</v>
      </c>
      <c r="G13" s="37">
        <f>'3 Spor'!F13</f>
        <v>0</v>
      </c>
      <c r="H13" s="37">
        <f>'3 Spor'!G13</f>
        <v>0</v>
      </c>
      <c r="I13" s="37">
        <f>'3 Spor'!H13</f>
        <v>0</v>
      </c>
      <c r="J13" s="37">
        <f>'3 Spor'!I13</f>
        <v>18800</v>
      </c>
      <c r="K13" s="37">
        <f>'3 Spor'!J13</f>
        <v>0</v>
      </c>
      <c r="L13" s="37">
        <f>'3 Spor'!K13</f>
        <v>0</v>
      </c>
      <c r="M13" s="37">
        <f>'3 Spor'!L13</f>
        <v>0</v>
      </c>
      <c r="N13" s="37">
        <f>'3 Spor'!M13</f>
        <v>0</v>
      </c>
      <c r="O13" s="37">
        <f>'3 Spor'!N13</f>
        <v>0</v>
      </c>
      <c r="P13" s="37">
        <f>'3 Spor'!O13</f>
        <v>0</v>
      </c>
      <c r="Q13" s="37">
        <f>'3 Spor'!P13</f>
        <v>0</v>
      </c>
      <c r="R13" s="37">
        <f>'3 Spor'!Q13</f>
        <v>0</v>
      </c>
      <c r="S13" s="37">
        <f>'3 Spor'!R13</f>
        <v>18800</v>
      </c>
      <c r="T13" s="39">
        <f>'3 Spor'!S13</f>
        <v>17.5</v>
      </c>
      <c r="U13" s="40">
        <f>'3 Spor'!T13</f>
        <v>329000</v>
      </c>
      <c r="V13" s="37" t="s">
        <v>98</v>
      </c>
      <c r="W13" s="37" t="s">
        <v>62</v>
      </c>
      <c r="X13" s="37" t="s">
        <v>98</v>
      </c>
    </row>
    <row r="14" spans="1:24" s="37" customFormat="1" x14ac:dyDescent="0.25">
      <c r="A14" s="37">
        <v>5</v>
      </c>
      <c r="B14" s="37" t="s">
        <v>123</v>
      </c>
      <c r="C14" s="37" t="s">
        <v>124</v>
      </c>
      <c r="D14" s="38" t="str">
        <f>'3 Spor'!C14</f>
        <v>STK</v>
      </c>
      <c r="E14" s="37">
        <f>'3 Spor'!D14</f>
        <v>0</v>
      </c>
      <c r="F14" s="37">
        <f>'3 Spor'!E14</f>
        <v>0</v>
      </c>
      <c r="G14" s="37">
        <f>'3 Spor'!F14</f>
        <v>0</v>
      </c>
      <c r="H14" s="37">
        <f>'3 Spor'!G14</f>
        <v>0</v>
      </c>
      <c r="I14" s="37">
        <f>'3 Spor'!H14</f>
        <v>0</v>
      </c>
      <c r="J14" s="37">
        <f>'3 Spor'!I14</f>
        <v>13</v>
      </c>
      <c r="K14" s="37">
        <f>'3 Spor'!J14</f>
        <v>0</v>
      </c>
      <c r="L14" s="37">
        <f>'3 Spor'!K14</f>
        <v>0</v>
      </c>
      <c r="M14" s="37">
        <f>'3 Spor'!L14</f>
        <v>0</v>
      </c>
      <c r="N14" s="37">
        <f>'3 Spor'!M14</f>
        <v>0</v>
      </c>
      <c r="O14" s="37">
        <f>'3 Spor'!N14</f>
        <v>0</v>
      </c>
      <c r="P14" s="37">
        <f>'3 Spor'!O14</f>
        <v>0</v>
      </c>
      <c r="Q14" s="37">
        <f>'3 Spor'!P14</f>
        <v>0</v>
      </c>
      <c r="R14" s="37">
        <f>'3 Spor'!Q14</f>
        <v>0</v>
      </c>
      <c r="S14" s="37">
        <f>'3 Spor'!R14</f>
        <v>13</v>
      </c>
      <c r="T14" s="39">
        <f>'3 Spor'!S14</f>
        <v>16814</v>
      </c>
      <c r="U14" s="40">
        <f>'3 Spor'!T14</f>
        <v>218582</v>
      </c>
      <c r="V14" s="37" t="s">
        <v>98</v>
      </c>
      <c r="W14" s="37" t="s">
        <v>822</v>
      </c>
      <c r="X14" s="37" t="s">
        <v>98</v>
      </c>
    </row>
    <row r="15" spans="1:24" s="36" customFormat="1" x14ac:dyDescent="0.25">
      <c r="A15" s="28">
        <v>4</v>
      </c>
      <c r="B15" s="28" t="s">
        <v>125</v>
      </c>
      <c r="C15" s="28" t="s">
        <v>126</v>
      </c>
      <c r="D15" s="50" t="str">
        <f>'3 Spor'!C15</f>
        <v/>
      </c>
      <c r="E15" s="28">
        <f>'3 Spor'!D15</f>
        <v>0</v>
      </c>
      <c r="F15" s="28">
        <f>'3 Spor'!E15</f>
        <v>0</v>
      </c>
      <c r="G15" s="28">
        <f>'3 Spor'!F15</f>
        <v>0</v>
      </c>
      <c r="H15" s="28">
        <f>'3 Spor'!G15</f>
        <v>0</v>
      </c>
      <c r="I15" s="28">
        <f>'3 Spor'!H15</f>
        <v>0</v>
      </c>
      <c r="J15" s="28">
        <f>'3 Spor'!I15</f>
        <v>0</v>
      </c>
      <c r="K15" s="28">
        <f>'3 Spor'!J15</f>
        <v>0</v>
      </c>
      <c r="L15" s="28">
        <f>'3 Spor'!K15</f>
        <v>0</v>
      </c>
      <c r="M15" s="28">
        <f>'3 Spor'!L15</f>
        <v>0</v>
      </c>
      <c r="N15" s="28">
        <f>'3 Spor'!M15</f>
        <v>0</v>
      </c>
      <c r="O15" s="28">
        <f>'3 Spor'!N15</f>
        <v>0</v>
      </c>
      <c r="P15" s="28">
        <f>'3 Spor'!O15</f>
        <v>0</v>
      </c>
      <c r="Q15" s="28">
        <f>'3 Spor'!P15</f>
        <v>0</v>
      </c>
      <c r="R15" s="28">
        <f>'3 Spor'!Q15</f>
        <v>0</v>
      </c>
      <c r="S15" s="28">
        <f>'3 Spor'!R15</f>
        <v>0</v>
      </c>
      <c r="T15" s="51">
        <f>'3 Spor'!S15</f>
        <v>0</v>
      </c>
      <c r="U15" s="52">
        <f>'3 Spor'!T15</f>
        <v>0</v>
      </c>
      <c r="V15" s="28" t="s">
        <v>98</v>
      </c>
      <c r="W15" s="28" t="s">
        <v>98</v>
      </c>
      <c r="X15" s="28" t="s">
        <v>98</v>
      </c>
    </row>
    <row r="16" spans="1:24" s="37" customFormat="1" x14ac:dyDescent="0.25">
      <c r="A16" s="37">
        <v>5</v>
      </c>
      <c r="B16" s="37" t="s">
        <v>127</v>
      </c>
      <c r="C16" s="37" t="s">
        <v>128</v>
      </c>
      <c r="D16" s="38" t="str">
        <f>'3 Spor'!C16</f>
        <v>M</v>
      </c>
      <c r="E16" s="37">
        <f>'3 Spor'!D16</f>
        <v>8400</v>
      </c>
      <c r="F16" s="37">
        <f>'3 Spor'!E16</f>
        <v>0</v>
      </c>
      <c r="G16" s="37">
        <f>'3 Spor'!F16</f>
        <v>0</v>
      </c>
      <c r="H16" s="37">
        <f>'3 Spor'!G16</f>
        <v>0</v>
      </c>
      <c r="I16" s="37">
        <f>'3 Spor'!H16</f>
        <v>0</v>
      </c>
      <c r="J16" s="37">
        <f>'3 Spor'!I16</f>
        <v>18800</v>
      </c>
      <c r="K16" s="37">
        <f>'3 Spor'!J16</f>
        <v>0</v>
      </c>
      <c r="L16" s="37">
        <f>'3 Spor'!K16</f>
        <v>0</v>
      </c>
      <c r="M16" s="37">
        <f>'3 Spor'!L16</f>
        <v>0</v>
      </c>
      <c r="N16" s="37">
        <f>'3 Spor'!M16</f>
        <v>0</v>
      </c>
      <c r="O16" s="37">
        <f>'3 Spor'!N16</f>
        <v>0</v>
      </c>
      <c r="P16" s="37">
        <f>'3 Spor'!O16</f>
        <v>0</v>
      </c>
      <c r="Q16" s="37">
        <f>'3 Spor'!P16</f>
        <v>0</v>
      </c>
      <c r="R16" s="37">
        <f>'3 Spor'!Q16</f>
        <v>0</v>
      </c>
      <c r="S16" s="37">
        <f>'3 Spor'!R16</f>
        <v>27200</v>
      </c>
      <c r="T16" s="39">
        <f>'3 Spor'!S16</f>
        <v>40.5</v>
      </c>
      <c r="U16" s="40">
        <f>'3 Spor'!T16</f>
        <v>1101600</v>
      </c>
      <c r="V16" s="37" t="s">
        <v>98</v>
      </c>
      <c r="W16" s="37" t="s">
        <v>822</v>
      </c>
      <c r="X16" s="37" t="s">
        <v>98</v>
      </c>
    </row>
    <row r="17" spans="1:24" s="32" customFormat="1" ht="15.75" x14ac:dyDescent="0.25">
      <c r="A17" s="32">
        <v>3</v>
      </c>
      <c r="B17" s="32" t="s">
        <v>34</v>
      </c>
      <c r="C17" s="32" t="s">
        <v>35</v>
      </c>
      <c r="D17" s="33" t="str">
        <f>'4 Jord og ballast'!C2</f>
        <v/>
      </c>
      <c r="E17" s="32">
        <f>'4 Jord og ballast'!D2</f>
        <v>0</v>
      </c>
      <c r="F17" s="32">
        <f>'4 Jord og ballast'!E2</f>
        <v>0</v>
      </c>
      <c r="G17" s="32">
        <f>'4 Jord og ballast'!F2</f>
        <v>0</v>
      </c>
      <c r="H17" s="32">
        <f>'4 Jord og ballast'!G2</f>
        <v>0</v>
      </c>
      <c r="I17" s="32">
        <f>'4 Jord og ballast'!H2</f>
        <v>0</v>
      </c>
      <c r="J17" s="32">
        <f>'4 Jord og ballast'!I2</f>
        <v>0</v>
      </c>
      <c r="K17" s="32">
        <f>'4 Jord og ballast'!J2</f>
        <v>0</v>
      </c>
      <c r="L17" s="32">
        <f>'4 Jord og ballast'!K2</f>
        <v>0</v>
      </c>
      <c r="M17" s="32">
        <f>'4 Jord og ballast'!L2</f>
        <v>0</v>
      </c>
      <c r="N17" s="32">
        <f>'4 Jord og ballast'!M2</f>
        <v>0</v>
      </c>
      <c r="O17" s="32">
        <f>'4 Jord og ballast'!N2</f>
        <v>0</v>
      </c>
      <c r="P17" s="32">
        <f>'4 Jord og ballast'!O2</f>
        <v>0</v>
      </c>
      <c r="Q17" s="32">
        <f>'4 Jord og ballast'!P2</f>
        <v>0</v>
      </c>
      <c r="R17" s="32">
        <f>'4 Jord og ballast'!Q2</f>
        <v>0</v>
      </c>
      <c r="S17" s="32">
        <f>'4 Jord og ballast'!R2</f>
        <v>0</v>
      </c>
      <c r="T17" s="34">
        <f>'4 Jord og ballast'!S2</f>
        <v>0</v>
      </c>
      <c r="U17" s="35">
        <f>'4 Jord og ballast'!T2</f>
        <v>0</v>
      </c>
      <c r="V17" s="32" t="s">
        <v>98</v>
      </c>
      <c r="W17" s="32" t="s">
        <v>98</v>
      </c>
      <c r="X17" s="32" t="s">
        <v>98</v>
      </c>
    </row>
    <row r="18" spans="1:24" s="36" customFormat="1" x14ac:dyDescent="0.25">
      <c r="A18" s="28">
        <v>4</v>
      </c>
      <c r="B18" s="28" t="s">
        <v>131</v>
      </c>
      <c r="C18" s="28" t="s">
        <v>132</v>
      </c>
      <c r="D18" s="50" t="str">
        <f>'4 Jord og ballast'!C3</f>
        <v/>
      </c>
      <c r="E18" s="28">
        <f>'4 Jord og ballast'!D3</f>
        <v>0</v>
      </c>
      <c r="F18" s="28">
        <f>'4 Jord og ballast'!E3</f>
        <v>0</v>
      </c>
      <c r="G18" s="28">
        <f>'4 Jord og ballast'!F3</f>
        <v>0</v>
      </c>
      <c r="H18" s="28">
        <f>'4 Jord og ballast'!G3</f>
        <v>0</v>
      </c>
      <c r="I18" s="28">
        <f>'4 Jord og ballast'!H3</f>
        <v>0</v>
      </c>
      <c r="J18" s="28">
        <f>'4 Jord og ballast'!I3</f>
        <v>0</v>
      </c>
      <c r="K18" s="28">
        <f>'4 Jord og ballast'!J3</f>
        <v>0</v>
      </c>
      <c r="L18" s="28">
        <f>'4 Jord og ballast'!K3</f>
        <v>0</v>
      </c>
      <c r="M18" s="28">
        <f>'4 Jord og ballast'!L3</f>
        <v>0</v>
      </c>
      <c r="N18" s="28">
        <f>'4 Jord og ballast'!M3</f>
        <v>0</v>
      </c>
      <c r="O18" s="28">
        <f>'4 Jord og ballast'!N3</f>
        <v>0</v>
      </c>
      <c r="P18" s="28">
        <f>'4 Jord og ballast'!O3</f>
        <v>0</v>
      </c>
      <c r="Q18" s="28">
        <f>'4 Jord og ballast'!P3</f>
        <v>0</v>
      </c>
      <c r="R18" s="28">
        <f>'4 Jord og ballast'!Q3</f>
        <v>0</v>
      </c>
      <c r="S18" s="28">
        <f>'4 Jord og ballast'!R3</f>
        <v>0</v>
      </c>
      <c r="T18" s="51">
        <f>'4 Jord og ballast'!S3</f>
        <v>0</v>
      </c>
      <c r="U18" s="52">
        <f>'4 Jord og ballast'!T3</f>
        <v>0</v>
      </c>
      <c r="V18" s="28" t="s">
        <v>98</v>
      </c>
      <c r="W18" s="28" t="s">
        <v>98</v>
      </c>
      <c r="X18" s="28" t="s">
        <v>98</v>
      </c>
    </row>
    <row r="19" spans="1:24" s="37" customFormat="1" x14ac:dyDescent="0.25">
      <c r="A19" s="37">
        <v>5</v>
      </c>
      <c r="B19" s="37" t="s">
        <v>133</v>
      </c>
      <c r="C19" s="37" t="s">
        <v>134</v>
      </c>
      <c r="D19" s="38" t="str">
        <f>'4 Jord og ballast'!C4</f>
        <v>M3</v>
      </c>
      <c r="E19" s="37">
        <f>'4 Jord og ballast'!D4</f>
        <v>4</v>
      </c>
      <c r="F19" s="37">
        <f>'4 Jord og ballast'!E4</f>
        <v>84</v>
      </c>
      <c r="G19" s="37">
        <f>'4 Jord og ballast'!F4</f>
        <v>0</v>
      </c>
      <c r="H19" s="37">
        <f>'4 Jord og ballast'!G4</f>
        <v>0</v>
      </c>
      <c r="I19" s="37">
        <f>'4 Jord og ballast'!H4</f>
        <v>0</v>
      </c>
      <c r="J19" s="37">
        <f>'4 Jord og ballast'!I4</f>
        <v>1417</v>
      </c>
      <c r="K19" s="37">
        <f>'4 Jord og ballast'!J4</f>
        <v>0</v>
      </c>
      <c r="L19" s="37">
        <f>'4 Jord og ballast'!K4</f>
        <v>0</v>
      </c>
      <c r="M19" s="37">
        <f>'4 Jord og ballast'!L4</f>
        <v>0</v>
      </c>
      <c r="N19" s="37">
        <f>'4 Jord og ballast'!M4</f>
        <v>0</v>
      </c>
      <c r="O19" s="37">
        <f>'4 Jord og ballast'!N4</f>
        <v>0</v>
      </c>
      <c r="P19" s="37">
        <f>'4 Jord og ballast'!O4</f>
        <v>0</v>
      </c>
      <c r="Q19" s="37">
        <f>'4 Jord og ballast'!P4</f>
        <v>0</v>
      </c>
      <c r="R19" s="37">
        <f>'4 Jord og ballast'!Q4</f>
        <v>0</v>
      </c>
      <c r="S19" s="37">
        <f>'4 Jord og ballast'!R4</f>
        <v>1505</v>
      </c>
      <c r="T19" s="39">
        <f>'4 Jord og ballast'!S4</f>
        <v>402</v>
      </c>
      <c r="U19" s="40">
        <f>'4 Jord og ballast'!T4</f>
        <v>605010</v>
      </c>
      <c r="V19" s="37" t="s">
        <v>98</v>
      </c>
      <c r="W19" s="37" t="s">
        <v>822</v>
      </c>
      <c r="X19" s="37" t="s">
        <v>98</v>
      </c>
    </row>
    <row r="20" spans="1:24" s="37" customFormat="1" x14ac:dyDescent="0.25">
      <c r="A20" s="37">
        <v>5</v>
      </c>
      <c r="B20" s="37" t="s">
        <v>136</v>
      </c>
      <c r="C20" s="37" t="s">
        <v>137</v>
      </c>
      <c r="D20" s="38" t="str">
        <f>'4 Jord og ballast'!C5</f>
        <v>M3</v>
      </c>
      <c r="E20" s="37">
        <f>'4 Jord og ballast'!D5</f>
        <v>0</v>
      </c>
      <c r="F20" s="37">
        <f>'4 Jord og ballast'!E5</f>
        <v>257</v>
      </c>
      <c r="G20" s="37">
        <f>'4 Jord og ballast'!F5</f>
        <v>0</v>
      </c>
      <c r="H20" s="37">
        <f>'4 Jord og ballast'!G5</f>
        <v>0</v>
      </c>
      <c r="I20" s="37">
        <f>'4 Jord og ballast'!H5</f>
        <v>0</v>
      </c>
      <c r="J20" s="37">
        <f>'4 Jord og ballast'!I5</f>
        <v>14</v>
      </c>
      <c r="K20" s="37">
        <f>'4 Jord og ballast'!J5</f>
        <v>0</v>
      </c>
      <c r="L20" s="37">
        <f>'4 Jord og ballast'!K5</f>
        <v>0</v>
      </c>
      <c r="M20" s="37">
        <f>'4 Jord og ballast'!L5</f>
        <v>0</v>
      </c>
      <c r="N20" s="37">
        <f>'4 Jord og ballast'!M5</f>
        <v>0</v>
      </c>
      <c r="O20" s="37">
        <f>'4 Jord og ballast'!N5</f>
        <v>0</v>
      </c>
      <c r="P20" s="37">
        <f>'4 Jord og ballast'!O5</f>
        <v>0</v>
      </c>
      <c r="Q20" s="37">
        <f>'4 Jord og ballast'!P5</f>
        <v>0</v>
      </c>
      <c r="R20" s="37">
        <f>'4 Jord og ballast'!Q5</f>
        <v>0</v>
      </c>
      <c r="S20" s="37">
        <f>'4 Jord og ballast'!R5</f>
        <v>271</v>
      </c>
      <c r="T20" s="39">
        <f>'4 Jord og ballast'!S5</f>
        <v>442</v>
      </c>
      <c r="U20" s="40">
        <f>'4 Jord og ballast'!T5</f>
        <v>119782</v>
      </c>
      <c r="V20" s="37" t="s">
        <v>824</v>
      </c>
      <c r="W20" s="37" t="s">
        <v>822</v>
      </c>
      <c r="X20" s="37" t="s">
        <v>98</v>
      </c>
    </row>
    <row r="21" spans="1:24" s="37" customFormat="1" x14ac:dyDescent="0.25">
      <c r="A21" s="37">
        <v>5</v>
      </c>
      <c r="B21" s="37" t="s">
        <v>138</v>
      </c>
      <c r="C21" s="37" t="s">
        <v>139</v>
      </c>
      <c r="D21" s="38" t="str">
        <f>'4 Jord og ballast'!C6</f>
        <v>M3</v>
      </c>
      <c r="E21" s="37">
        <f>'4 Jord og ballast'!D6</f>
        <v>43</v>
      </c>
      <c r="F21" s="37">
        <f>'4 Jord og ballast'!E6</f>
        <v>0</v>
      </c>
      <c r="G21" s="37">
        <f>'4 Jord og ballast'!F6</f>
        <v>0</v>
      </c>
      <c r="H21" s="37">
        <f>'4 Jord og ballast'!G6</f>
        <v>0</v>
      </c>
      <c r="I21" s="37">
        <f>'4 Jord og ballast'!H6</f>
        <v>0</v>
      </c>
      <c r="J21" s="37">
        <f>'4 Jord og ballast'!I6</f>
        <v>10845</v>
      </c>
      <c r="K21" s="37">
        <f>'4 Jord og ballast'!J6</f>
        <v>0</v>
      </c>
      <c r="L21" s="37">
        <f>'4 Jord og ballast'!K6</f>
        <v>0</v>
      </c>
      <c r="M21" s="37">
        <f>'4 Jord og ballast'!L6</f>
        <v>0</v>
      </c>
      <c r="N21" s="37">
        <f>'4 Jord og ballast'!M6</f>
        <v>0</v>
      </c>
      <c r="O21" s="37">
        <f>'4 Jord og ballast'!N6</f>
        <v>0</v>
      </c>
      <c r="P21" s="37">
        <f>'4 Jord og ballast'!O6</f>
        <v>0</v>
      </c>
      <c r="Q21" s="37">
        <f>'4 Jord og ballast'!P6</f>
        <v>0</v>
      </c>
      <c r="R21" s="37">
        <f>'4 Jord og ballast'!Q6</f>
        <v>0</v>
      </c>
      <c r="S21" s="37">
        <f>'4 Jord og ballast'!R6</f>
        <v>10888</v>
      </c>
      <c r="T21" s="39">
        <f>'4 Jord og ballast'!S6</f>
        <v>252</v>
      </c>
      <c r="U21" s="40">
        <f>'4 Jord og ballast'!T6</f>
        <v>2743776</v>
      </c>
      <c r="V21" s="37" t="s">
        <v>98</v>
      </c>
      <c r="W21" s="37" t="s">
        <v>822</v>
      </c>
      <c r="X21" s="37" t="s">
        <v>98</v>
      </c>
    </row>
    <row r="22" spans="1:24" s="37" customFormat="1" x14ac:dyDescent="0.25">
      <c r="A22" s="37">
        <v>5</v>
      </c>
      <c r="B22" s="37" t="s">
        <v>140</v>
      </c>
      <c r="C22" s="37" t="s">
        <v>141</v>
      </c>
      <c r="D22" s="38" t="str">
        <f>'4 Jord og ballast'!C7</f>
        <v>M3</v>
      </c>
      <c r="E22" s="37">
        <f>'4 Jord og ballast'!D7</f>
        <v>0</v>
      </c>
      <c r="F22" s="37">
        <f>'4 Jord og ballast'!E7</f>
        <v>244</v>
      </c>
      <c r="G22" s="37">
        <f>'4 Jord og ballast'!F7</f>
        <v>0</v>
      </c>
      <c r="H22" s="37">
        <f>'4 Jord og ballast'!G7</f>
        <v>0</v>
      </c>
      <c r="I22" s="37">
        <f>'4 Jord og ballast'!H7</f>
        <v>0</v>
      </c>
      <c r="J22" s="37">
        <f>'4 Jord og ballast'!I7</f>
        <v>0</v>
      </c>
      <c r="K22" s="37">
        <f>'4 Jord og ballast'!J7</f>
        <v>0</v>
      </c>
      <c r="L22" s="37">
        <f>'4 Jord og ballast'!K7</f>
        <v>0</v>
      </c>
      <c r="M22" s="37">
        <f>'4 Jord og ballast'!L7</f>
        <v>0</v>
      </c>
      <c r="N22" s="37">
        <f>'4 Jord og ballast'!M7</f>
        <v>0</v>
      </c>
      <c r="O22" s="37">
        <f>'4 Jord og ballast'!N7</f>
        <v>0</v>
      </c>
      <c r="P22" s="37">
        <f>'4 Jord og ballast'!O7</f>
        <v>0</v>
      </c>
      <c r="Q22" s="37">
        <f>'4 Jord og ballast'!P7</f>
        <v>0</v>
      </c>
      <c r="R22" s="37">
        <f>'4 Jord og ballast'!Q7</f>
        <v>0</v>
      </c>
      <c r="S22" s="37">
        <f>'4 Jord og ballast'!R7</f>
        <v>244</v>
      </c>
      <c r="T22" s="39">
        <f>'4 Jord og ballast'!S7</f>
        <v>344</v>
      </c>
      <c r="U22" s="40">
        <f>'4 Jord og ballast'!T7</f>
        <v>83936</v>
      </c>
      <c r="V22" s="37" t="s">
        <v>98</v>
      </c>
      <c r="W22" s="37" t="s">
        <v>822</v>
      </c>
      <c r="X22" s="37" t="s">
        <v>98</v>
      </c>
    </row>
    <row r="23" spans="1:24" s="37" customFormat="1" x14ac:dyDescent="0.25">
      <c r="A23" s="37">
        <v>5</v>
      </c>
      <c r="B23" s="37" t="s">
        <v>142</v>
      </c>
      <c r="C23" s="37" t="s">
        <v>143</v>
      </c>
      <c r="D23" s="38" t="str">
        <f>'4 Jord og ballast'!C8</f>
        <v>M3</v>
      </c>
      <c r="E23" s="37">
        <f>'4 Jord og ballast'!D8</f>
        <v>0</v>
      </c>
      <c r="F23" s="37">
        <f>'4 Jord og ballast'!E8</f>
        <v>0</v>
      </c>
      <c r="G23" s="37">
        <f>'4 Jord og ballast'!F8</f>
        <v>0</v>
      </c>
      <c r="H23" s="37">
        <f>'4 Jord og ballast'!G8</f>
        <v>0</v>
      </c>
      <c r="I23" s="37">
        <f>'4 Jord og ballast'!H8</f>
        <v>0</v>
      </c>
      <c r="J23" s="37">
        <f>'4 Jord og ballast'!I8</f>
        <v>1985</v>
      </c>
      <c r="K23" s="37">
        <f>'4 Jord og ballast'!J8</f>
        <v>0</v>
      </c>
      <c r="L23" s="37">
        <f>'4 Jord og ballast'!K8</f>
        <v>0</v>
      </c>
      <c r="M23" s="37">
        <f>'4 Jord og ballast'!L8</f>
        <v>0</v>
      </c>
      <c r="N23" s="37">
        <f>'4 Jord og ballast'!M8</f>
        <v>0</v>
      </c>
      <c r="O23" s="37">
        <f>'4 Jord og ballast'!N8</f>
        <v>0</v>
      </c>
      <c r="P23" s="37">
        <f>'4 Jord og ballast'!O8</f>
        <v>0</v>
      </c>
      <c r="Q23" s="37">
        <f>'4 Jord og ballast'!P8</f>
        <v>0</v>
      </c>
      <c r="R23" s="37">
        <f>'4 Jord og ballast'!Q8</f>
        <v>0</v>
      </c>
      <c r="S23" s="37">
        <f>'4 Jord og ballast'!R8</f>
        <v>1985</v>
      </c>
      <c r="T23" s="39">
        <f>'4 Jord og ballast'!S8</f>
        <v>400</v>
      </c>
      <c r="U23" s="40">
        <f>'4 Jord og ballast'!T8</f>
        <v>794000</v>
      </c>
      <c r="V23" s="37" t="s">
        <v>98</v>
      </c>
      <c r="W23" s="37" t="s">
        <v>98</v>
      </c>
      <c r="X23" s="37" t="s">
        <v>98</v>
      </c>
    </row>
    <row r="24" spans="1:24" s="36" customFormat="1" x14ac:dyDescent="0.25">
      <c r="A24" s="28">
        <v>4</v>
      </c>
      <c r="B24" s="28" t="s">
        <v>144</v>
      </c>
      <c r="C24" s="28" t="s">
        <v>145</v>
      </c>
      <c r="D24" s="50" t="str">
        <f>'4 Jord og ballast'!C9</f>
        <v/>
      </c>
      <c r="E24" s="28">
        <f>'4 Jord og ballast'!D9</f>
        <v>0</v>
      </c>
      <c r="F24" s="28">
        <f>'4 Jord og ballast'!E9</f>
        <v>0</v>
      </c>
      <c r="G24" s="28">
        <f>'4 Jord og ballast'!F9</f>
        <v>0</v>
      </c>
      <c r="H24" s="28">
        <f>'4 Jord og ballast'!G9</f>
        <v>0</v>
      </c>
      <c r="I24" s="28">
        <f>'4 Jord og ballast'!H9</f>
        <v>0</v>
      </c>
      <c r="J24" s="28">
        <f>'4 Jord og ballast'!I9</f>
        <v>0</v>
      </c>
      <c r="K24" s="28">
        <f>'4 Jord og ballast'!J9</f>
        <v>0</v>
      </c>
      <c r="L24" s="28">
        <f>'4 Jord og ballast'!K9</f>
        <v>0</v>
      </c>
      <c r="M24" s="28">
        <f>'4 Jord og ballast'!L9</f>
        <v>0</v>
      </c>
      <c r="N24" s="28">
        <f>'4 Jord og ballast'!M9</f>
        <v>0</v>
      </c>
      <c r="O24" s="28">
        <f>'4 Jord og ballast'!N9</f>
        <v>0</v>
      </c>
      <c r="P24" s="28">
        <f>'4 Jord og ballast'!O9</f>
        <v>0</v>
      </c>
      <c r="Q24" s="28">
        <f>'4 Jord og ballast'!P9</f>
        <v>0</v>
      </c>
      <c r="R24" s="28">
        <f>'4 Jord og ballast'!Q9</f>
        <v>0</v>
      </c>
      <c r="S24" s="28">
        <f>'4 Jord og ballast'!R9</f>
        <v>0</v>
      </c>
      <c r="T24" s="51">
        <f>'4 Jord og ballast'!S9</f>
        <v>0</v>
      </c>
      <c r="U24" s="52">
        <f>'4 Jord og ballast'!T9</f>
        <v>0</v>
      </c>
      <c r="V24" s="28" t="s">
        <v>98</v>
      </c>
      <c r="W24" s="28" t="s">
        <v>98</v>
      </c>
      <c r="X24" s="28" t="s">
        <v>98</v>
      </c>
    </row>
    <row r="25" spans="1:24" s="36" customFormat="1" x14ac:dyDescent="0.25">
      <c r="A25" s="28">
        <v>4</v>
      </c>
      <c r="B25" s="28" t="s">
        <v>146</v>
      </c>
      <c r="C25" s="28" t="s">
        <v>147</v>
      </c>
      <c r="D25" s="50" t="str">
        <f>'4 Jord og ballast'!C10</f>
        <v/>
      </c>
      <c r="E25" s="28">
        <f>'4 Jord og ballast'!D10</f>
        <v>0</v>
      </c>
      <c r="F25" s="28">
        <f>'4 Jord og ballast'!E10</f>
        <v>0</v>
      </c>
      <c r="G25" s="28">
        <f>'4 Jord og ballast'!F10</f>
        <v>0</v>
      </c>
      <c r="H25" s="28">
        <f>'4 Jord og ballast'!G10</f>
        <v>0</v>
      </c>
      <c r="I25" s="28">
        <f>'4 Jord og ballast'!H10</f>
        <v>0</v>
      </c>
      <c r="J25" s="28">
        <f>'4 Jord og ballast'!I10</f>
        <v>0</v>
      </c>
      <c r="K25" s="28">
        <f>'4 Jord og ballast'!J10</f>
        <v>0</v>
      </c>
      <c r="L25" s="28">
        <f>'4 Jord og ballast'!K10</f>
        <v>0</v>
      </c>
      <c r="M25" s="28">
        <f>'4 Jord og ballast'!L10</f>
        <v>0</v>
      </c>
      <c r="N25" s="28">
        <f>'4 Jord og ballast'!M10</f>
        <v>0</v>
      </c>
      <c r="O25" s="28">
        <f>'4 Jord og ballast'!N10</f>
        <v>0</v>
      </c>
      <c r="P25" s="28">
        <f>'4 Jord og ballast'!O10</f>
        <v>0</v>
      </c>
      <c r="Q25" s="28">
        <f>'4 Jord og ballast'!P10</f>
        <v>0</v>
      </c>
      <c r="R25" s="28">
        <f>'4 Jord og ballast'!Q10</f>
        <v>0</v>
      </c>
      <c r="S25" s="28">
        <f>'4 Jord og ballast'!R10</f>
        <v>0</v>
      </c>
      <c r="T25" s="51">
        <f>'4 Jord og ballast'!S10</f>
        <v>0</v>
      </c>
      <c r="U25" s="52">
        <f>'4 Jord og ballast'!T10</f>
        <v>0</v>
      </c>
      <c r="V25" s="28" t="s">
        <v>98</v>
      </c>
      <c r="W25" s="28" t="s">
        <v>98</v>
      </c>
      <c r="X25" s="28" t="s">
        <v>98</v>
      </c>
    </row>
    <row r="26" spans="1:24" s="37" customFormat="1" x14ac:dyDescent="0.25">
      <c r="A26" s="37">
        <v>5</v>
      </c>
      <c r="B26" s="37" t="s">
        <v>148</v>
      </c>
      <c r="C26" s="37" t="s">
        <v>149</v>
      </c>
      <c r="D26" s="38" t="str">
        <f>'4 Jord og ballast'!C11</f>
        <v>STK</v>
      </c>
      <c r="E26" s="37">
        <f>'4 Jord og ballast'!D11</f>
        <v>0</v>
      </c>
      <c r="F26" s="37">
        <f>'4 Jord og ballast'!E11</f>
        <v>6</v>
      </c>
      <c r="G26" s="37">
        <f>'4 Jord og ballast'!F11</f>
        <v>0</v>
      </c>
      <c r="H26" s="37">
        <f>'4 Jord og ballast'!G11</f>
        <v>6</v>
      </c>
      <c r="I26" s="37">
        <f>'4 Jord og ballast'!H11</f>
        <v>0</v>
      </c>
      <c r="J26" s="37">
        <f>'4 Jord og ballast'!I11</f>
        <v>0</v>
      </c>
      <c r="K26" s="37">
        <f>'4 Jord og ballast'!J11</f>
        <v>0</v>
      </c>
      <c r="L26" s="37">
        <f>'4 Jord og ballast'!K11</f>
        <v>0</v>
      </c>
      <c r="M26" s="37">
        <f>'4 Jord og ballast'!L11</f>
        <v>0</v>
      </c>
      <c r="N26" s="37">
        <f>'4 Jord og ballast'!M11</f>
        <v>0</v>
      </c>
      <c r="O26" s="37">
        <f>'4 Jord og ballast'!N11</f>
        <v>0</v>
      </c>
      <c r="P26" s="37">
        <f>'4 Jord og ballast'!O11</f>
        <v>0</v>
      </c>
      <c r="Q26" s="37">
        <f>'4 Jord og ballast'!P11</f>
        <v>0</v>
      </c>
      <c r="R26" s="37">
        <f>'4 Jord og ballast'!Q11</f>
        <v>0</v>
      </c>
      <c r="S26" s="37">
        <f>'4 Jord og ballast'!R11</f>
        <v>12</v>
      </c>
      <c r="T26" s="39">
        <f>'4 Jord og ballast'!S11</f>
        <v>18544</v>
      </c>
      <c r="U26" s="40">
        <f>'4 Jord og ballast'!T11</f>
        <v>222528</v>
      </c>
      <c r="V26" s="37" t="s">
        <v>825</v>
      </c>
      <c r="W26" s="37" t="s">
        <v>822</v>
      </c>
      <c r="X26" s="37" t="s">
        <v>98</v>
      </c>
    </row>
    <row r="27" spans="1:24" s="37" customFormat="1" x14ac:dyDescent="0.25">
      <c r="A27" s="37">
        <v>5</v>
      </c>
      <c r="B27" s="37" t="s">
        <v>150</v>
      </c>
      <c r="C27" s="37" t="s">
        <v>151</v>
      </c>
      <c r="D27" s="38" t="str">
        <f>'4 Jord og ballast'!C12</f>
        <v>M2</v>
      </c>
      <c r="E27" s="37">
        <f>'4 Jord og ballast'!D12</f>
        <v>0</v>
      </c>
      <c r="F27" s="37">
        <f>'4 Jord og ballast'!E12</f>
        <v>135</v>
      </c>
      <c r="G27" s="37">
        <f>'4 Jord og ballast'!F12</f>
        <v>0</v>
      </c>
      <c r="H27" s="37">
        <f>'4 Jord og ballast'!G12</f>
        <v>0</v>
      </c>
      <c r="I27" s="37">
        <f>'4 Jord og ballast'!H12</f>
        <v>0</v>
      </c>
      <c r="J27" s="37">
        <f>'4 Jord og ballast'!I12</f>
        <v>0</v>
      </c>
      <c r="K27" s="37">
        <f>'4 Jord og ballast'!J12</f>
        <v>0</v>
      </c>
      <c r="L27" s="37">
        <f>'4 Jord og ballast'!K12</f>
        <v>0</v>
      </c>
      <c r="M27" s="37">
        <f>'4 Jord og ballast'!L12</f>
        <v>0</v>
      </c>
      <c r="N27" s="37">
        <f>'4 Jord og ballast'!M12</f>
        <v>0</v>
      </c>
      <c r="O27" s="37">
        <f>'4 Jord og ballast'!N12</f>
        <v>0</v>
      </c>
      <c r="P27" s="37">
        <f>'4 Jord og ballast'!O12</f>
        <v>0</v>
      </c>
      <c r="Q27" s="37">
        <f>'4 Jord og ballast'!P12</f>
        <v>0</v>
      </c>
      <c r="R27" s="37">
        <f>'4 Jord og ballast'!Q12</f>
        <v>0</v>
      </c>
      <c r="S27" s="37">
        <f>'4 Jord og ballast'!R12</f>
        <v>135</v>
      </c>
      <c r="T27" s="39">
        <f>'4 Jord og ballast'!S12</f>
        <v>1509</v>
      </c>
      <c r="U27" s="40">
        <f>'4 Jord og ballast'!T12</f>
        <v>203715</v>
      </c>
      <c r="V27" s="37" t="s">
        <v>98</v>
      </c>
      <c r="W27" s="37" t="s">
        <v>822</v>
      </c>
      <c r="X27" s="37" t="s">
        <v>98</v>
      </c>
    </row>
    <row r="28" spans="1:24" s="36" customFormat="1" x14ac:dyDescent="0.25">
      <c r="A28" s="28">
        <v>4</v>
      </c>
      <c r="B28" s="28" t="s">
        <v>153</v>
      </c>
      <c r="C28" s="28" t="s">
        <v>154</v>
      </c>
      <c r="D28" s="50" t="str">
        <f>'4 Jord og ballast'!C13</f>
        <v/>
      </c>
      <c r="E28" s="28">
        <f>'4 Jord og ballast'!D13</f>
        <v>0</v>
      </c>
      <c r="F28" s="28">
        <f>'4 Jord og ballast'!E13</f>
        <v>0</v>
      </c>
      <c r="G28" s="28">
        <f>'4 Jord og ballast'!F13</f>
        <v>0</v>
      </c>
      <c r="H28" s="28">
        <f>'4 Jord og ballast'!G13</f>
        <v>0</v>
      </c>
      <c r="I28" s="28">
        <f>'4 Jord og ballast'!H13</f>
        <v>0</v>
      </c>
      <c r="J28" s="28">
        <f>'4 Jord og ballast'!I13</f>
        <v>0</v>
      </c>
      <c r="K28" s="28">
        <f>'4 Jord og ballast'!J13</f>
        <v>0</v>
      </c>
      <c r="L28" s="28">
        <f>'4 Jord og ballast'!K13</f>
        <v>0</v>
      </c>
      <c r="M28" s="28">
        <f>'4 Jord og ballast'!L13</f>
        <v>0</v>
      </c>
      <c r="N28" s="28">
        <f>'4 Jord og ballast'!M13</f>
        <v>0</v>
      </c>
      <c r="O28" s="28">
        <f>'4 Jord og ballast'!N13</f>
        <v>0</v>
      </c>
      <c r="P28" s="28">
        <f>'4 Jord og ballast'!O13</f>
        <v>0</v>
      </c>
      <c r="Q28" s="28">
        <f>'4 Jord og ballast'!P13</f>
        <v>0</v>
      </c>
      <c r="R28" s="28">
        <f>'4 Jord og ballast'!Q13</f>
        <v>0</v>
      </c>
      <c r="S28" s="28">
        <f>'4 Jord og ballast'!R13</f>
        <v>0</v>
      </c>
      <c r="T28" s="51">
        <f>'4 Jord og ballast'!S13</f>
        <v>0</v>
      </c>
      <c r="U28" s="52">
        <f>'4 Jord og ballast'!T13</f>
        <v>0</v>
      </c>
      <c r="V28" s="28" t="s">
        <v>98</v>
      </c>
      <c r="W28" s="28" t="s">
        <v>98</v>
      </c>
      <c r="X28" s="28" t="s">
        <v>98</v>
      </c>
    </row>
    <row r="29" spans="1:24" s="37" customFormat="1" x14ac:dyDescent="0.25">
      <c r="A29" s="37">
        <v>5</v>
      </c>
      <c r="B29" s="37" t="s">
        <v>155</v>
      </c>
      <c r="C29" s="37" t="s">
        <v>156</v>
      </c>
      <c r="D29" s="38" t="str">
        <f>'4 Jord og ballast'!C14</f>
        <v>M</v>
      </c>
      <c r="E29" s="37">
        <f>'4 Jord og ballast'!D14</f>
        <v>0</v>
      </c>
      <c r="F29" s="37">
        <f>'4 Jord og ballast'!E14</f>
        <v>0</v>
      </c>
      <c r="G29" s="37">
        <f>'4 Jord og ballast'!F14</f>
        <v>0</v>
      </c>
      <c r="H29" s="37">
        <f>'4 Jord og ballast'!G14</f>
        <v>0</v>
      </c>
      <c r="I29" s="37">
        <f>'4 Jord og ballast'!H14</f>
        <v>0</v>
      </c>
      <c r="J29" s="37">
        <f>'4 Jord og ballast'!I14</f>
        <v>16548</v>
      </c>
      <c r="K29" s="37">
        <f>'4 Jord og ballast'!J14</f>
        <v>0</v>
      </c>
      <c r="L29" s="37">
        <f>'4 Jord og ballast'!K14</f>
        <v>0</v>
      </c>
      <c r="M29" s="37">
        <f>'4 Jord og ballast'!L14</f>
        <v>0</v>
      </c>
      <c r="N29" s="37">
        <f>'4 Jord og ballast'!M14</f>
        <v>0</v>
      </c>
      <c r="O29" s="37">
        <f>'4 Jord og ballast'!N14</f>
        <v>0</v>
      </c>
      <c r="P29" s="37">
        <f>'4 Jord og ballast'!O14</f>
        <v>0</v>
      </c>
      <c r="Q29" s="37">
        <f>'4 Jord og ballast'!P14</f>
        <v>0</v>
      </c>
      <c r="R29" s="37">
        <f>'4 Jord og ballast'!Q14</f>
        <v>0</v>
      </c>
      <c r="S29" s="37">
        <f>'4 Jord og ballast'!R14</f>
        <v>16548</v>
      </c>
      <c r="T29" s="39">
        <f>'4 Jord og ballast'!S14</f>
        <v>37</v>
      </c>
      <c r="U29" s="40">
        <f>'4 Jord og ballast'!T14</f>
        <v>612276</v>
      </c>
      <c r="V29" s="37" t="s">
        <v>98</v>
      </c>
      <c r="W29" s="37" t="s">
        <v>98</v>
      </c>
      <c r="X29" s="37" t="s">
        <v>98</v>
      </c>
    </row>
    <row r="30" spans="1:24" s="32" customFormat="1" ht="15.75" x14ac:dyDescent="0.25">
      <c r="A30" s="32">
        <v>3</v>
      </c>
      <c r="B30" s="32" t="s">
        <v>36</v>
      </c>
      <c r="C30" s="32" t="s">
        <v>37</v>
      </c>
      <c r="D30" s="33" t="str">
        <f>'5 Afvanding'!C2</f>
        <v/>
      </c>
      <c r="E30" s="32">
        <f>'5 Afvanding'!D2</f>
        <v>0</v>
      </c>
      <c r="F30" s="32">
        <f>'5 Afvanding'!E2</f>
        <v>0</v>
      </c>
      <c r="G30" s="32">
        <f>'5 Afvanding'!F2</f>
        <v>0</v>
      </c>
      <c r="H30" s="32">
        <f>'5 Afvanding'!G2</f>
        <v>0</v>
      </c>
      <c r="I30" s="32">
        <f>'5 Afvanding'!H2</f>
        <v>0</v>
      </c>
      <c r="J30" s="32">
        <f>'5 Afvanding'!I2</f>
        <v>0</v>
      </c>
      <c r="K30" s="32">
        <f>'5 Afvanding'!J2</f>
        <v>0</v>
      </c>
      <c r="L30" s="32">
        <f>'5 Afvanding'!K2</f>
        <v>0</v>
      </c>
      <c r="M30" s="32">
        <f>'5 Afvanding'!L2</f>
        <v>0</v>
      </c>
      <c r="N30" s="32">
        <f>'5 Afvanding'!M2</f>
        <v>0</v>
      </c>
      <c r="O30" s="32">
        <f>'5 Afvanding'!N2</f>
        <v>0</v>
      </c>
      <c r="P30" s="32">
        <f>'5 Afvanding'!O2</f>
        <v>0</v>
      </c>
      <c r="Q30" s="32">
        <f>'5 Afvanding'!P2</f>
        <v>0</v>
      </c>
      <c r="R30" s="32">
        <f>'5 Afvanding'!Q2</f>
        <v>0</v>
      </c>
      <c r="S30" s="32">
        <f>'5 Afvanding'!R2</f>
        <v>0</v>
      </c>
      <c r="T30" s="34">
        <f>'5 Afvanding'!S2</f>
        <v>0</v>
      </c>
      <c r="U30" s="35">
        <f>'5 Afvanding'!T2</f>
        <v>0</v>
      </c>
      <c r="V30" s="32" t="s">
        <v>98</v>
      </c>
      <c r="W30" s="32" t="s">
        <v>98</v>
      </c>
      <c r="X30" s="32" t="s">
        <v>98</v>
      </c>
    </row>
    <row r="31" spans="1:24" s="36" customFormat="1" x14ac:dyDescent="0.25">
      <c r="A31" s="28">
        <v>4</v>
      </c>
      <c r="B31" s="28" t="s">
        <v>157</v>
      </c>
      <c r="C31" s="28" t="s">
        <v>158</v>
      </c>
      <c r="D31" s="50" t="str">
        <f>'5 Afvanding'!C3</f>
        <v/>
      </c>
      <c r="E31" s="28">
        <f>'5 Afvanding'!D3</f>
        <v>0</v>
      </c>
      <c r="F31" s="28">
        <f>'5 Afvanding'!E3</f>
        <v>0</v>
      </c>
      <c r="G31" s="28">
        <f>'5 Afvanding'!F3</f>
        <v>0</v>
      </c>
      <c r="H31" s="28">
        <f>'5 Afvanding'!G3</f>
        <v>0</v>
      </c>
      <c r="I31" s="28">
        <f>'5 Afvanding'!H3</f>
        <v>0</v>
      </c>
      <c r="J31" s="28">
        <f>'5 Afvanding'!I3</f>
        <v>0</v>
      </c>
      <c r="K31" s="28">
        <f>'5 Afvanding'!J3</f>
        <v>0</v>
      </c>
      <c r="L31" s="28">
        <f>'5 Afvanding'!K3</f>
        <v>0</v>
      </c>
      <c r="M31" s="28">
        <f>'5 Afvanding'!L3</f>
        <v>0</v>
      </c>
      <c r="N31" s="28">
        <f>'5 Afvanding'!M3</f>
        <v>0</v>
      </c>
      <c r="O31" s="28">
        <f>'5 Afvanding'!N3</f>
        <v>0</v>
      </c>
      <c r="P31" s="28">
        <f>'5 Afvanding'!O3</f>
        <v>0</v>
      </c>
      <c r="Q31" s="28">
        <f>'5 Afvanding'!P3</f>
        <v>0</v>
      </c>
      <c r="R31" s="28">
        <f>'5 Afvanding'!Q3</f>
        <v>0</v>
      </c>
      <c r="S31" s="28">
        <f>'5 Afvanding'!R3</f>
        <v>0</v>
      </c>
      <c r="T31" s="51">
        <f>'5 Afvanding'!S3</f>
        <v>0</v>
      </c>
      <c r="U31" s="52">
        <f>'5 Afvanding'!T3</f>
        <v>0</v>
      </c>
      <c r="V31" s="28" t="s">
        <v>98</v>
      </c>
      <c r="W31" s="28" t="s">
        <v>98</v>
      </c>
      <c r="X31" s="28" t="s">
        <v>98</v>
      </c>
    </row>
    <row r="32" spans="1:24" s="37" customFormat="1" x14ac:dyDescent="0.25">
      <c r="A32" s="37">
        <v>5</v>
      </c>
      <c r="B32" s="37" t="s">
        <v>159</v>
      </c>
      <c r="C32" s="37" t="s">
        <v>160</v>
      </c>
      <c r="D32" s="38" t="str">
        <f>'5 Afvanding'!C4</f>
        <v/>
      </c>
      <c r="E32" s="37">
        <f>'5 Afvanding'!D4</f>
        <v>0</v>
      </c>
      <c r="F32" s="37">
        <f>'5 Afvanding'!E4</f>
        <v>0</v>
      </c>
      <c r="G32" s="37">
        <f>'5 Afvanding'!F4</f>
        <v>0</v>
      </c>
      <c r="H32" s="37">
        <f>'5 Afvanding'!G4</f>
        <v>0</v>
      </c>
      <c r="I32" s="37">
        <f>'5 Afvanding'!H4</f>
        <v>0</v>
      </c>
      <c r="J32" s="37">
        <f>'5 Afvanding'!I4</f>
        <v>0</v>
      </c>
      <c r="K32" s="37">
        <f>'5 Afvanding'!J4</f>
        <v>0</v>
      </c>
      <c r="L32" s="37">
        <f>'5 Afvanding'!K4</f>
        <v>0</v>
      </c>
      <c r="M32" s="37">
        <f>'5 Afvanding'!L4</f>
        <v>0</v>
      </c>
      <c r="N32" s="37">
        <f>'5 Afvanding'!M4</f>
        <v>0</v>
      </c>
      <c r="O32" s="37">
        <f>'5 Afvanding'!N4</f>
        <v>0</v>
      </c>
      <c r="P32" s="37">
        <f>'5 Afvanding'!O4</f>
        <v>0</v>
      </c>
      <c r="Q32" s="37">
        <f>'5 Afvanding'!P4</f>
        <v>0</v>
      </c>
      <c r="R32" s="37">
        <f>'5 Afvanding'!Q4</f>
        <v>0</v>
      </c>
      <c r="S32" s="37">
        <f>'5 Afvanding'!R4</f>
        <v>0</v>
      </c>
      <c r="T32" s="39">
        <f>'5 Afvanding'!S4</f>
        <v>0</v>
      </c>
      <c r="U32" s="40">
        <f>'5 Afvanding'!T4</f>
        <v>0</v>
      </c>
      <c r="V32" s="37" t="s">
        <v>98</v>
      </c>
      <c r="W32" s="37" t="s">
        <v>98</v>
      </c>
      <c r="X32" s="37" t="s">
        <v>98</v>
      </c>
    </row>
    <row r="33" spans="1:24" s="37" customFormat="1" x14ac:dyDescent="0.25">
      <c r="A33" s="37">
        <v>6</v>
      </c>
      <c r="B33" s="37" t="s">
        <v>161</v>
      </c>
      <c r="C33" s="37" t="s">
        <v>162</v>
      </c>
      <c r="D33" s="38" t="str">
        <f>'5 Afvanding'!C5</f>
        <v>M</v>
      </c>
      <c r="E33" s="37">
        <f>'5 Afvanding'!D5</f>
        <v>0</v>
      </c>
      <c r="F33" s="37">
        <f>'5 Afvanding'!E5</f>
        <v>21</v>
      </c>
      <c r="G33" s="37">
        <f>'5 Afvanding'!F5</f>
        <v>0</v>
      </c>
      <c r="H33" s="37">
        <f>'5 Afvanding'!G5</f>
        <v>21</v>
      </c>
      <c r="I33" s="37">
        <f>'5 Afvanding'!H5</f>
        <v>0</v>
      </c>
      <c r="J33" s="37">
        <f>'5 Afvanding'!I5</f>
        <v>829</v>
      </c>
      <c r="K33" s="37">
        <f>'5 Afvanding'!J5</f>
        <v>0</v>
      </c>
      <c r="L33" s="37">
        <f>'5 Afvanding'!K5</f>
        <v>0</v>
      </c>
      <c r="M33" s="37">
        <f>'5 Afvanding'!L5</f>
        <v>0</v>
      </c>
      <c r="N33" s="37">
        <f>'5 Afvanding'!M5</f>
        <v>0</v>
      </c>
      <c r="O33" s="37">
        <f>'5 Afvanding'!N5</f>
        <v>0</v>
      </c>
      <c r="P33" s="37">
        <f>'5 Afvanding'!O5</f>
        <v>0</v>
      </c>
      <c r="Q33" s="37">
        <f>'5 Afvanding'!P5</f>
        <v>0</v>
      </c>
      <c r="R33" s="37">
        <f>'5 Afvanding'!Q5</f>
        <v>0</v>
      </c>
      <c r="S33" s="37">
        <f>'5 Afvanding'!R5</f>
        <v>871</v>
      </c>
      <c r="T33" s="39">
        <f>'5 Afvanding'!S5</f>
        <v>1965</v>
      </c>
      <c r="U33" s="40">
        <f>'5 Afvanding'!T5</f>
        <v>1711515</v>
      </c>
      <c r="V33" s="37" t="s">
        <v>98</v>
      </c>
      <c r="W33" s="37" t="s">
        <v>822</v>
      </c>
      <c r="X33" s="37" t="s">
        <v>98</v>
      </c>
    </row>
    <row r="34" spans="1:24" s="37" customFormat="1" x14ac:dyDescent="0.25">
      <c r="A34" s="37">
        <v>6</v>
      </c>
      <c r="B34" s="37" t="s">
        <v>163</v>
      </c>
      <c r="C34" s="37" t="s">
        <v>164</v>
      </c>
      <c r="D34" s="38" t="str">
        <f>'5 Afvanding'!C6</f>
        <v>M</v>
      </c>
      <c r="E34" s="37">
        <f>'5 Afvanding'!D6</f>
        <v>0</v>
      </c>
      <c r="F34" s="37">
        <f>'5 Afvanding'!E6</f>
        <v>22</v>
      </c>
      <c r="G34" s="37">
        <f>'5 Afvanding'!F6</f>
        <v>0</v>
      </c>
      <c r="H34" s="37">
        <f>'5 Afvanding'!G6</f>
        <v>0</v>
      </c>
      <c r="I34" s="37">
        <f>'5 Afvanding'!H6</f>
        <v>25</v>
      </c>
      <c r="J34" s="37">
        <f>'5 Afvanding'!I6</f>
        <v>0</v>
      </c>
      <c r="K34" s="37">
        <f>'5 Afvanding'!J6</f>
        <v>0</v>
      </c>
      <c r="L34" s="37">
        <f>'5 Afvanding'!K6</f>
        <v>0</v>
      </c>
      <c r="M34" s="37">
        <f>'5 Afvanding'!L6</f>
        <v>0</v>
      </c>
      <c r="N34" s="37">
        <f>'5 Afvanding'!M6</f>
        <v>0</v>
      </c>
      <c r="O34" s="37">
        <f>'5 Afvanding'!N6</f>
        <v>0</v>
      </c>
      <c r="P34" s="37">
        <f>'5 Afvanding'!O6</f>
        <v>0</v>
      </c>
      <c r="Q34" s="37">
        <f>'5 Afvanding'!P6</f>
        <v>0</v>
      </c>
      <c r="R34" s="37">
        <f>'5 Afvanding'!Q6</f>
        <v>0</v>
      </c>
      <c r="S34" s="37">
        <f>'5 Afvanding'!R6</f>
        <v>47</v>
      </c>
      <c r="T34" s="39">
        <f>'5 Afvanding'!S6</f>
        <v>4025</v>
      </c>
      <c r="U34" s="40">
        <f>'5 Afvanding'!T6</f>
        <v>189175</v>
      </c>
      <c r="V34" s="37" t="s">
        <v>98</v>
      </c>
      <c r="W34" s="37" t="s">
        <v>98</v>
      </c>
      <c r="X34" s="37" t="s">
        <v>98</v>
      </c>
    </row>
    <row r="35" spans="1:24" s="37" customFormat="1" x14ac:dyDescent="0.25">
      <c r="A35" s="37">
        <v>5</v>
      </c>
      <c r="B35" s="37" t="s">
        <v>165</v>
      </c>
      <c r="C35" s="37" t="s">
        <v>166</v>
      </c>
      <c r="D35" s="38" t="str">
        <f>'5 Afvanding'!C7</f>
        <v/>
      </c>
      <c r="E35" s="37">
        <f>'5 Afvanding'!D7</f>
        <v>0</v>
      </c>
      <c r="F35" s="37">
        <f>'5 Afvanding'!E7</f>
        <v>0</v>
      </c>
      <c r="G35" s="37">
        <f>'5 Afvanding'!F7</f>
        <v>0</v>
      </c>
      <c r="H35" s="37">
        <f>'5 Afvanding'!G7</f>
        <v>0</v>
      </c>
      <c r="I35" s="37">
        <f>'5 Afvanding'!H7</f>
        <v>0</v>
      </c>
      <c r="J35" s="37">
        <f>'5 Afvanding'!I7</f>
        <v>0</v>
      </c>
      <c r="K35" s="37">
        <f>'5 Afvanding'!J7</f>
        <v>0</v>
      </c>
      <c r="L35" s="37">
        <f>'5 Afvanding'!K7</f>
        <v>0</v>
      </c>
      <c r="M35" s="37">
        <f>'5 Afvanding'!L7</f>
        <v>0</v>
      </c>
      <c r="N35" s="37">
        <f>'5 Afvanding'!M7</f>
        <v>0</v>
      </c>
      <c r="O35" s="37">
        <f>'5 Afvanding'!N7</f>
        <v>0</v>
      </c>
      <c r="P35" s="37">
        <f>'5 Afvanding'!O7</f>
        <v>0</v>
      </c>
      <c r="Q35" s="37">
        <f>'5 Afvanding'!P7</f>
        <v>0</v>
      </c>
      <c r="R35" s="37">
        <f>'5 Afvanding'!Q7</f>
        <v>0</v>
      </c>
      <c r="S35" s="37">
        <f>'5 Afvanding'!R7</f>
        <v>0</v>
      </c>
      <c r="T35" s="39">
        <f>'5 Afvanding'!S7</f>
        <v>0</v>
      </c>
      <c r="U35" s="40">
        <f>'5 Afvanding'!T7</f>
        <v>0</v>
      </c>
      <c r="V35" s="37" t="s">
        <v>98</v>
      </c>
      <c r="W35" s="37" t="s">
        <v>98</v>
      </c>
      <c r="X35" s="37" t="s">
        <v>98</v>
      </c>
    </row>
    <row r="36" spans="1:24" s="37" customFormat="1" x14ac:dyDescent="0.25">
      <c r="A36" s="37">
        <v>6</v>
      </c>
      <c r="B36" s="37" t="s">
        <v>167</v>
      </c>
      <c r="C36" s="37" t="s">
        <v>162</v>
      </c>
      <c r="D36" s="38" t="str">
        <f>'5 Afvanding'!C8</f>
        <v>M</v>
      </c>
      <c r="E36" s="37">
        <f>'5 Afvanding'!D8</f>
        <v>0</v>
      </c>
      <c r="F36" s="37">
        <f>'5 Afvanding'!E8</f>
        <v>0</v>
      </c>
      <c r="G36" s="37">
        <f>'5 Afvanding'!F8</f>
        <v>0</v>
      </c>
      <c r="H36" s="37">
        <f>'5 Afvanding'!G8</f>
        <v>0</v>
      </c>
      <c r="I36" s="37">
        <f>'5 Afvanding'!H8</f>
        <v>0</v>
      </c>
      <c r="J36" s="37">
        <f>'5 Afvanding'!I8</f>
        <v>1818</v>
      </c>
      <c r="K36" s="37">
        <f>'5 Afvanding'!J8</f>
        <v>0</v>
      </c>
      <c r="L36" s="37">
        <f>'5 Afvanding'!K8</f>
        <v>0</v>
      </c>
      <c r="M36" s="37">
        <f>'5 Afvanding'!L8</f>
        <v>0</v>
      </c>
      <c r="N36" s="37">
        <f>'5 Afvanding'!M8</f>
        <v>0</v>
      </c>
      <c r="O36" s="37">
        <f>'5 Afvanding'!N8</f>
        <v>0</v>
      </c>
      <c r="P36" s="37">
        <f>'5 Afvanding'!O8</f>
        <v>0</v>
      </c>
      <c r="Q36" s="37">
        <f>'5 Afvanding'!P8</f>
        <v>0</v>
      </c>
      <c r="R36" s="37">
        <f>'5 Afvanding'!Q8</f>
        <v>0</v>
      </c>
      <c r="S36" s="37">
        <f>'5 Afvanding'!R8</f>
        <v>1818</v>
      </c>
      <c r="T36" s="39">
        <f>'5 Afvanding'!S8</f>
        <v>2065</v>
      </c>
      <c r="U36" s="40">
        <f>'5 Afvanding'!T8</f>
        <v>3754170</v>
      </c>
      <c r="V36" s="37" t="s">
        <v>98</v>
      </c>
      <c r="W36" s="37" t="s">
        <v>822</v>
      </c>
      <c r="X36" s="37" t="s">
        <v>98</v>
      </c>
    </row>
    <row r="37" spans="1:24" s="37" customFormat="1" x14ac:dyDescent="0.25">
      <c r="A37" s="37">
        <v>6</v>
      </c>
      <c r="B37" s="37" t="s">
        <v>168</v>
      </c>
      <c r="C37" s="37" t="s">
        <v>169</v>
      </c>
      <c r="D37" s="38" t="str">
        <f>'5 Afvanding'!C9</f>
        <v>M</v>
      </c>
      <c r="E37" s="37">
        <f>'5 Afvanding'!D9</f>
        <v>0</v>
      </c>
      <c r="F37" s="37">
        <f>'5 Afvanding'!E9</f>
        <v>0</v>
      </c>
      <c r="G37" s="37">
        <f>'5 Afvanding'!F9</f>
        <v>0</v>
      </c>
      <c r="H37" s="37">
        <f>'5 Afvanding'!G9</f>
        <v>0</v>
      </c>
      <c r="I37" s="37">
        <f>'5 Afvanding'!H9</f>
        <v>0</v>
      </c>
      <c r="J37" s="37">
        <f>'5 Afvanding'!I9</f>
        <v>2067</v>
      </c>
      <c r="K37" s="37">
        <f>'5 Afvanding'!J9</f>
        <v>0</v>
      </c>
      <c r="L37" s="37">
        <f>'5 Afvanding'!K9</f>
        <v>0</v>
      </c>
      <c r="M37" s="37">
        <f>'5 Afvanding'!L9</f>
        <v>0</v>
      </c>
      <c r="N37" s="37">
        <f>'5 Afvanding'!M9</f>
        <v>0</v>
      </c>
      <c r="O37" s="37">
        <f>'5 Afvanding'!N9</f>
        <v>0</v>
      </c>
      <c r="P37" s="37">
        <f>'5 Afvanding'!O9</f>
        <v>0</v>
      </c>
      <c r="Q37" s="37">
        <f>'5 Afvanding'!P9</f>
        <v>0</v>
      </c>
      <c r="R37" s="37">
        <f>'5 Afvanding'!Q9</f>
        <v>0</v>
      </c>
      <c r="S37" s="37">
        <f>'5 Afvanding'!R9</f>
        <v>2067</v>
      </c>
      <c r="T37" s="39">
        <f>'5 Afvanding'!S9</f>
        <v>2864</v>
      </c>
      <c r="U37" s="40">
        <f>'5 Afvanding'!T9</f>
        <v>5919888</v>
      </c>
      <c r="V37" s="37" t="s">
        <v>98</v>
      </c>
      <c r="W37" s="37" t="s">
        <v>822</v>
      </c>
      <c r="X37" s="37" t="s">
        <v>98</v>
      </c>
    </row>
    <row r="38" spans="1:24" s="37" customFormat="1" x14ac:dyDescent="0.25">
      <c r="A38" s="37">
        <v>6</v>
      </c>
      <c r="B38" s="37" t="s">
        <v>170</v>
      </c>
      <c r="C38" s="37" t="s">
        <v>171</v>
      </c>
      <c r="D38" s="38" t="str">
        <f>'5 Afvanding'!C10</f>
        <v>M</v>
      </c>
      <c r="E38" s="37">
        <f>'5 Afvanding'!D10</f>
        <v>0</v>
      </c>
      <c r="F38" s="37">
        <f>'5 Afvanding'!E10</f>
        <v>0</v>
      </c>
      <c r="G38" s="37">
        <f>'5 Afvanding'!F10</f>
        <v>0</v>
      </c>
      <c r="H38" s="37">
        <f>'5 Afvanding'!G10</f>
        <v>0</v>
      </c>
      <c r="I38" s="37">
        <f>'5 Afvanding'!H10</f>
        <v>0</v>
      </c>
      <c r="J38" s="37">
        <f>'5 Afvanding'!I10</f>
        <v>1960</v>
      </c>
      <c r="K38" s="37">
        <f>'5 Afvanding'!J10</f>
        <v>0</v>
      </c>
      <c r="L38" s="37">
        <f>'5 Afvanding'!K10</f>
        <v>0</v>
      </c>
      <c r="M38" s="37">
        <f>'5 Afvanding'!L10</f>
        <v>0</v>
      </c>
      <c r="N38" s="37">
        <f>'5 Afvanding'!M10</f>
        <v>0</v>
      </c>
      <c r="O38" s="37">
        <f>'5 Afvanding'!N10</f>
        <v>0</v>
      </c>
      <c r="P38" s="37">
        <f>'5 Afvanding'!O10</f>
        <v>0</v>
      </c>
      <c r="Q38" s="37">
        <f>'5 Afvanding'!P10</f>
        <v>0</v>
      </c>
      <c r="R38" s="37">
        <f>'5 Afvanding'!Q10</f>
        <v>0</v>
      </c>
      <c r="S38" s="37">
        <f>'5 Afvanding'!R10</f>
        <v>1960</v>
      </c>
      <c r="T38" s="39">
        <f>'5 Afvanding'!S10</f>
        <v>3042</v>
      </c>
      <c r="U38" s="40">
        <f>'5 Afvanding'!T10</f>
        <v>5962320</v>
      </c>
      <c r="V38" s="37" t="s">
        <v>98</v>
      </c>
      <c r="W38" s="37" t="s">
        <v>822</v>
      </c>
      <c r="X38" s="37" t="s">
        <v>98</v>
      </c>
    </row>
    <row r="39" spans="1:24" s="37" customFormat="1" x14ac:dyDescent="0.25">
      <c r="A39" s="37">
        <v>6</v>
      </c>
      <c r="B39" s="37" t="s">
        <v>172</v>
      </c>
      <c r="C39" s="37" t="s">
        <v>173</v>
      </c>
      <c r="D39" s="38" t="str">
        <f>'5 Afvanding'!C11</f>
        <v>M</v>
      </c>
      <c r="E39" s="37">
        <f>'5 Afvanding'!D11</f>
        <v>0</v>
      </c>
      <c r="F39" s="37">
        <f>'5 Afvanding'!E11</f>
        <v>0</v>
      </c>
      <c r="G39" s="37">
        <f>'5 Afvanding'!F11</f>
        <v>0</v>
      </c>
      <c r="H39" s="37">
        <f>'5 Afvanding'!G11</f>
        <v>0</v>
      </c>
      <c r="I39" s="37">
        <f>'5 Afvanding'!H11</f>
        <v>0</v>
      </c>
      <c r="J39" s="37">
        <f>'5 Afvanding'!I11</f>
        <v>1197</v>
      </c>
      <c r="K39" s="37">
        <f>'5 Afvanding'!J11</f>
        <v>0</v>
      </c>
      <c r="L39" s="37">
        <f>'5 Afvanding'!K11</f>
        <v>0</v>
      </c>
      <c r="M39" s="37">
        <f>'5 Afvanding'!L11</f>
        <v>0</v>
      </c>
      <c r="N39" s="37">
        <f>'5 Afvanding'!M11</f>
        <v>0</v>
      </c>
      <c r="O39" s="37">
        <f>'5 Afvanding'!N11</f>
        <v>0</v>
      </c>
      <c r="P39" s="37">
        <f>'5 Afvanding'!O11</f>
        <v>0</v>
      </c>
      <c r="Q39" s="37">
        <f>'5 Afvanding'!P11</f>
        <v>0</v>
      </c>
      <c r="R39" s="37">
        <f>'5 Afvanding'!Q11</f>
        <v>0</v>
      </c>
      <c r="S39" s="37">
        <f>'5 Afvanding'!R11</f>
        <v>1197</v>
      </c>
      <c r="T39" s="39">
        <f>'5 Afvanding'!S11</f>
        <v>3471</v>
      </c>
      <c r="U39" s="40">
        <f>'5 Afvanding'!T11</f>
        <v>4154787</v>
      </c>
      <c r="V39" s="37" t="s">
        <v>98</v>
      </c>
      <c r="W39" s="37" t="s">
        <v>822</v>
      </c>
      <c r="X39" s="37" t="s">
        <v>98</v>
      </c>
    </row>
    <row r="40" spans="1:24" s="36" customFormat="1" x14ac:dyDescent="0.25">
      <c r="A40" s="28">
        <v>4</v>
      </c>
      <c r="B40" s="28" t="s">
        <v>174</v>
      </c>
      <c r="C40" s="28" t="s">
        <v>175</v>
      </c>
      <c r="D40" s="50" t="str">
        <f>'5 Afvanding'!C12</f>
        <v/>
      </c>
      <c r="E40" s="28">
        <f>'5 Afvanding'!D12</f>
        <v>0</v>
      </c>
      <c r="F40" s="28">
        <f>'5 Afvanding'!E12</f>
        <v>0</v>
      </c>
      <c r="G40" s="28">
        <f>'5 Afvanding'!F12</f>
        <v>0</v>
      </c>
      <c r="H40" s="28">
        <f>'5 Afvanding'!G12</f>
        <v>0</v>
      </c>
      <c r="I40" s="28">
        <f>'5 Afvanding'!H12</f>
        <v>0</v>
      </c>
      <c r="J40" s="28">
        <f>'5 Afvanding'!I12</f>
        <v>0</v>
      </c>
      <c r="K40" s="28">
        <f>'5 Afvanding'!J12</f>
        <v>0</v>
      </c>
      <c r="L40" s="28">
        <f>'5 Afvanding'!K12</f>
        <v>0</v>
      </c>
      <c r="M40" s="28">
        <f>'5 Afvanding'!L12</f>
        <v>0</v>
      </c>
      <c r="N40" s="28">
        <f>'5 Afvanding'!M12</f>
        <v>0</v>
      </c>
      <c r="O40" s="28">
        <f>'5 Afvanding'!N12</f>
        <v>0</v>
      </c>
      <c r="P40" s="28">
        <f>'5 Afvanding'!O12</f>
        <v>0</v>
      </c>
      <c r="Q40" s="28">
        <f>'5 Afvanding'!P12</f>
        <v>0</v>
      </c>
      <c r="R40" s="28">
        <f>'5 Afvanding'!Q12</f>
        <v>0</v>
      </c>
      <c r="S40" s="28">
        <f>'5 Afvanding'!R12</f>
        <v>0</v>
      </c>
      <c r="T40" s="51">
        <f>'5 Afvanding'!S12</f>
        <v>0</v>
      </c>
      <c r="U40" s="52">
        <f>'5 Afvanding'!T12</f>
        <v>0</v>
      </c>
      <c r="V40" s="28" t="s">
        <v>98</v>
      </c>
      <c r="W40" s="28" t="s">
        <v>98</v>
      </c>
      <c r="X40" s="28" t="s">
        <v>98</v>
      </c>
    </row>
    <row r="41" spans="1:24" s="37" customFormat="1" x14ac:dyDescent="0.25">
      <c r="A41" s="37">
        <v>5</v>
      </c>
      <c r="B41" s="37" t="s">
        <v>176</v>
      </c>
      <c r="C41" s="37" t="s">
        <v>177</v>
      </c>
      <c r="D41" s="38" t="str">
        <f>'5 Afvanding'!C13</f>
        <v/>
      </c>
      <c r="E41" s="37">
        <f>'5 Afvanding'!D13</f>
        <v>0</v>
      </c>
      <c r="F41" s="37">
        <f>'5 Afvanding'!E13</f>
        <v>0</v>
      </c>
      <c r="G41" s="37">
        <f>'5 Afvanding'!F13</f>
        <v>0</v>
      </c>
      <c r="H41" s="37">
        <f>'5 Afvanding'!G13</f>
        <v>0</v>
      </c>
      <c r="I41" s="37">
        <f>'5 Afvanding'!H13</f>
        <v>0</v>
      </c>
      <c r="J41" s="37">
        <f>'5 Afvanding'!I13</f>
        <v>0</v>
      </c>
      <c r="K41" s="37">
        <f>'5 Afvanding'!J13</f>
        <v>0</v>
      </c>
      <c r="L41" s="37">
        <f>'5 Afvanding'!K13</f>
        <v>0</v>
      </c>
      <c r="M41" s="37">
        <f>'5 Afvanding'!L13</f>
        <v>0</v>
      </c>
      <c r="N41" s="37">
        <f>'5 Afvanding'!M13</f>
        <v>0</v>
      </c>
      <c r="O41" s="37">
        <f>'5 Afvanding'!N13</f>
        <v>0</v>
      </c>
      <c r="P41" s="37">
        <f>'5 Afvanding'!O13</f>
        <v>0</v>
      </c>
      <c r="Q41" s="37">
        <f>'5 Afvanding'!P13</f>
        <v>0</v>
      </c>
      <c r="R41" s="37">
        <f>'5 Afvanding'!Q13</f>
        <v>0</v>
      </c>
      <c r="S41" s="37">
        <f>'5 Afvanding'!R13</f>
        <v>0</v>
      </c>
      <c r="T41" s="39">
        <f>'5 Afvanding'!S13</f>
        <v>0</v>
      </c>
      <c r="U41" s="40">
        <f>'5 Afvanding'!T13</f>
        <v>0</v>
      </c>
      <c r="V41" s="37" t="s">
        <v>98</v>
      </c>
      <c r="W41" s="37" t="s">
        <v>98</v>
      </c>
      <c r="X41" s="37" t="s">
        <v>98</v>
      </c>
    </row>
    <row r="42" spans="1:24" s="37" customFormat="1" x14ac:dyDescent="0.25">
      <c r="A42" s="37">
        <v>6</v>
      </c>
      <c r="B42" s="37" t="s">
        <v>178</v>
      </c>
      <c r="C42" s="37" t="s">
        <v>179</v>
      </c>
      <c r="D42" s="38" t="str">
        <f>'5 Afvanding'!C14</f>
        <v>M</v>
      </c>
      <c r="E42" s="37">
        <f>'5 Afvanding'!D14</f>
        <v>0</v>
      </c>
      <c r="F42" s="37">
        <f>'5 Afvanding'!E14</f>
        <v>26</v>
      </c>
      <c r="G42" s="37">
        <f>'5 Afvanding'!F14</f>
        <v>0</v>
      </c>
      <c r="H42" s="37">
        <f>'5 Afvanding'!G14</f>
        <v>7</v>
      </c>
      <c r="I42" s="37">
        <f>'5 Afvanding'!H14</f>
        <v>0</v>
      </c>
      <c r="J42" s="37">
        <f>'5 Afvanding'!I14</f>
        <v>451</v>
      </c>
      <c r="K42" s="37">
        <f>'5 Afvanding'!J14</f>
        <v>0</v>
      </c>
      <c r="L42" s="37">
        <f>'5 Afvanding'!K14</f>
        <v>0</v>
      </c>
      <c r="M42" s="37">
        <f>'5 Afvanding'!L14</f>
        <v>0</v>
      </c>
      <c r="N42" s="37">
        <f>'5 Afvanding'!M14</f>
        <v>0</v>
      </c>
      <c r="O42" s="37">
        <f>'5 Afvanding'!N14</f>
        <v>0</v>
      </c>
      <c r="P42" s="37">
        <f>'5 Afvanding'!O14</f>
        <v>0</v>
      </c>
      <c r="Q42" s="37">
        <f>'5 Afvanding'!P14</f>
        <v>0</v>
      </c>
      <c r="R42" s="37">
        <f>'5 Afvanding'!Q14</f>
        <v>0</v>
      </c>
      <c r="S42" s="37">
        <f>'5 Afvanding'!R14</f>
        <v>484</v>
      </c>
      <c r="T42" s="39">
        <f>'5 Afvanding'!S14</f>
        <v>2463</v>
      </c>
      <c r="U42" s="40">
        <f>'5 Afvanding'!T14</f>
        <v>1192092</v>
      </c>
      <c r="V42" s="37" t="s">
        <v>98</v>
      </c>
      <c r="W42" s="37" t="s">
        <v>822</v>
      </c>
      <c r="X42" s="37" t="s">
        <v>98</v>
      </c>
    </row>
    <row r="43" spans="1:24" s="37" customFormat="1" x14ac:dyDescent="0.25">
      <c r="A43" s="37">
        <v>6</v>
      </c>
      <c r="B43" s="37" t="s">
        <v>180</v>
      </c>
      <c r="C43" s="37" t="s">
        <v>181</v>
      </c>
      <c r="D43" s="38" t="str">
        <f>'5 Afvanding'!C15</f>
        <v>M</v>
      </c>
      <c r="E43" s="37">
        <f>'5 Afvanding'!D15</f>
        <v>0</v>
      </c>
      <c r="F43" s="37">
        <f>'5 Afvanding'!E15</f>
        <v>0</v>
      </c>
      <c r="G43" s="37">
        <f>'5 Afvanding'!F15</f>
        <v>0</v>
      </c>
      <c r="H43" s="37">
        <f>'5 Afvanding'!G15</f>
        <v>0</v>
      </c>
      <c r="I43" s="37">
        <f>'5 Afvanding'!H15</f>
        <v>0</v>
      </c>
      <c r="J43" s="37">
        <f>'5 Afvanding'!I15</f>
        <v>203</v>
      </c>
      <c r="K43" s="37">
        <f>'5 Afvanding'!J15</f>
        <v>0</v>
      </c>
      <c r="L43" s="37">
        <f>'5 Afvanding'!K15</f>
        <v>0</v>
      </c>
      <c r="M43" s="37">
        <f>'5 Afvanding'!L15</f>
        <v>0</v>
      </c>
      <c r="N43" s="37">
        <f>'5 Afvanding'!M15</f>
        <v>0</v>
      </c>
      <c r="O43" s="37">
        <f>'5 Afvanding'!N15</f>
        <v>0</v>
      </c>
      <c r="P43" s="37">
        <f>'5 Afvanding'!O15</f>
        <v>0</v>
      </c>
      <c r="Q43" s="37">
        <f>'5 Afvanding'!P15</f>
        <v>0</v>
      </c>
      <c r="R43" s="37">
        <f>'5 Afvanding'!Q15</f>
        <v>0</v>
      </c>
      <c r="S43" s="37">
        <f>'5 Afvanding'!R15</f>
        <v>203</v>
      </c>
      <c r="T43" s="39">
        <f>'5 Afvanding'!S15</f>
        <v>2945</v>
      </c>
      <c r="U43" s="40">
        <f>'5 Afvanding'!T15</f>
        <v>597835</v>
      </c>
      <c r="V43" s="37" t="s">
        <v>98</v>
      </c>
      <c r="W43" s="37" t="s">
        <v>822</v>
      </c>
      <c r="X43" s="37" t="s">
        <v>98</v>
      </c>
    </row>
    <row r="44" spans="1:24" s="37" customFormat="1" x14ac:dyDescent="0.25">
      <c r="A44" s="37">
        <v>6</v>
      </c>
      <c r="B44" s="37" t="s">
        <v>182</v>
      </c>
      <c r="C44" s="37" t="s">
        <v>183</v>
      </c>
      <c r="D44" s="38" t="str">
        <f>'5 Afvanding'!C16</f>
        <v>M</v>
      </c>
      <c r="E44" s="37">
        <f>'5 Afvanding'!D16</f>
        <v>0</v>
      </c>
      <c r="F44" s="37">
        <f>'5 Afvanding'!E16</f>
        <v>24</v>
      </c>
      <c r="G44" s="37">
        <f>'5 Afvanding'!F16</f>
        <v>0</v>
      </c>
      <c r="H44" s="37">
        <f>'5 Afvanding'!G16</f>
        <v>0</v>
      </c>
      <c r="I44" s="37">
        <f>'5 Afvanding'!H16</f>
        <v>0</v>
      </c>
      <c r="J44" s="37">
        <f>'5 Afvanding'!I16</f>
        <v>212</v>
      </c>
      <c r="K44" s="37">
        <f>'5 Afvanding'!J16</f>
        <v>0</v>
      </c>
      <c r="L44" s="37">
        <f>'5 Afvanding'!K16</f>
        <v>0</v>
      </c>
      <c r="M44" s="37">
        <f>'5 Afvanding'!L16</f>
        <v>0</v>
      </c>
      <c r="N44" s="37">
        <f>'5 Afvanding'!M16</f>
        <v>0</v>
      </c>
      <c r="O44" s="37">
        <f>'5 Afvanding'!N16</f>
        <v>0</v>
      </c>
      <c r="P44" s="37">
        <f>'5 Afvanding'!O16</f>
        <v>0</v>
      </c>
      <c r="Q44" s="37">
        <f>'5 Afvanding'!P16</f>
        <v>0</v>
      </c>
      <c r="R44" s="37">
        <f>'5 Afvanding'!Q16</f>
        <v>0</v>
      </c>
      <c r="S44" s="37">
        <f>'5 Afvanding'!R16</f>
        <v>236</v>
      </c>
      <c r="T44" s="39">
        <f>'5 Afvanding'!S16</f>
        <v>3007</v>
      </c>
      <c r="U44" s="40">
        <f>'5 Afvanding'!T16</f>
        <v>709652</v>
      </c>
      <c r="V44" s="37" t="s">
        <v>98</v>
      </c>
      <c r="W44" s="37" t="s">
        <v>822</v>
      </c>
      <c r="X44" s="37" t="s">
        <v>98</v>
      </c>
    </row>
    <row r="45" spans="1:24" s="37" customFormat="1" x14ac:dyDescent="0.25">
      <c r="A45" s="37">
        <v>6</v>
      </c>
      <c r="B45" s="37" t="s">
        <v>184</v>
      </c>
      <c r="C45" s="37" t="s">
        <v>185</v>
      </c>
      <c r="D45" s="38" t="str">
        <f>'5 Afvanding'!C17</f>
        <v>M</v>
      </c>
      <c r="E45" s="37">
        <f>'5 Afvanding'!D17</f>
        <v>0</v>
      </c>
      <c r="F45" s="37">
        <f>'5 Afvanding'!E17</f>
        <v>109</v>
      </c>
      <c r="G45" s="37">
        <f>'5 Afvanding'!F17</f>
        <v>0</v>
      </c>
      <c r="H45" s="37">
        <f>'5 Afvanding'!G17</f>
        <v>0</v>
      </c>
      <c r="I45" s="37">
        <f>'5 Afvanding'!H17</f>
        <v>0</v>
      </c>
      <c r="J45" s="37">
        <f>'5 Afvanding'!I17</f>
        <v>191</v>
      </c>
      <c r="K45" s="37">
        <f>'5 Afvanding'!J17</f>
        <v>0</v>
      </c>
      <c r="L45" s="37">
        <f>'5 Afvanding'!K17</f>
        <v>0</v>
      </c>
      <c r="M45" s="37">
        <f>'5 Afvanding'!L17</f>
        <v>0</v>
      </c>
      <c r="N45" s="37">
        <f>'5 Afvanding'!M17</f>
        <v>0</v>
      </c>
      <c r="O45" s="37">
        <f>'5 Afvanding'!N17</f>
        <v>0</v>
      </c>
      <c r="P45" s="37">
        <f>'5 Afvanding'!O17</f>
        <v>0</v>
      </c>
      <c r="Q45" s="37">
        <f>'5 Afvanding'!P17</f>
        <v>0</v>
      </c>
      <c r="R45" s="37">
        <f>'5 Afvanding'!Q17</f>
        <v>0</v>
      </c>
      <c r="S45" s="37">
        <f>'5 Afvanding'!R17</f>
        <v>300</v>
      </c>
      <c r="T45" s="39">
        <f>'5 Afvanding'!S17</f>
        <v>3392</v>
      </c>
      <c r="U45" s="40">
        <f>'5 Afvanding'!T17</f>
        <v>1017600</v>
      </c>
      <c r="V45" s="37" t="s">
        <v>98</v>
      </c>
      <c r="W45" s="37" t="s">
        <v>822</v>
      </c>
      <c r="X45" s="37" t="s">
        <v>98</v>
      </c>
    </row>
    <row r="46" spans="1:24" s="37" customFormat="1" x14ac:dyDescent="0.25">
      <c r="A46" s="37">
        <v>6</v>
      </c>
      <c r="B46" s="37" t="s">
        <v>186</v>
      </c>
      <c r="C46" s="37" t="s">
        <v>187</v>
      </c>
      <c r="D46" s="38" t="str">
        <f>'5 Afvanding'!C18</f>
        <v>M</v>
      </c>
      <c r="E46" s="37">
        <f>'5 Afvanding'!D18</f>
        <v>0</v>
      </c>
      <c r="F46" s="37">
        <f>'5 Afvanding'!E18</f>
        <v>11</v>
      </c>
      <c r="G46" s="37">
        <f>'5 Afvanding'!F18</f>
        <v>0</v>
      </c>
      <c r="H46" s="37">
        <f>'5 Afvanding'!G18</f>
        <v>0</v>
      </c>
      <c r="I46" s="37">
        <f>'5 Afvanding'!H18</f>
        <v>0</v>
      </c>
      <c r="J46" s="37">
        <f>'5 Afvanding'!I18</f>
        <v>2</v>
      </c>
      <c r="K46" s="37">
        <f>'5 Afvanding'!J18</f>
        <v>0</v>
      </c>
      <c r="L46" s="37">
        <f>'5 Afvanding'!K18</f>
        <v>0</v>
      </c>
      <c r="M46" s="37">
        <f>'5 Afvanding'!L18</f>
        <v>0</v>
      </c>
      <c r="N46" s="37">
        <f>'5 Afvanding'!M18</f>
        <v>0</v>
      </c>
      <c r="O46" s="37">
        <f>'5 Afvanding'!N18</f>
        <v>0</v>
      </c>
      <c r="P46" s="37">
        <f>'5 Afvanding'!O18</f>
        <v>0</v>
      </c>
      <c r="Q46" s="37">
        <f>'5 Afvanding'!P18</f>
        <v>0</v>
      </c>
      <c r="R46" s="37">
        <f>'5 Afvanding'!Q18</f>
        <v>0</v>
      </c>
      <c r="S46" s="37">
        <f>'5 Afvanding'!R18</f>
        <v>13</v>
      </c>
      <c r="T46" s="39">
        <f>'5 Afvanding'!S18</f>
        <v>4240</v>
      </c>
      <c r="U46" s="40">
        <f>'5 Afvanding'!T18</f>
        <v>55120</v>
      </c>
      <c r="V46" s="37" t="s">
        <v>98</v>
      </c>
      <c r="W46" s="37" t="s">
        <v>822</v>
      </c>
      <c r="X46" s="37" t="s">
        <v>98</v>
      </c>
    </row>
    <row r="47" spans="1:24" s="37" customFormat="1" x14ac:dyDescent="0.25">
      <c r="A47" s="37">
        <v>5</v>
      </c>
      <c r="B47" s="37" t="s">
        <v>188</v>
      </c>
      <c r="C47" s="37" t="s">
        <v>189</v>
      </c>
      <c r="D47" s="38" t="str">
        <f>'5 Afvanding'!C19</f>
        <v/>
      </c>
      <c r="E47" s="37">
        <f>'5 Afvanding'!D19</f>
        <v>0</v>
      </c>
      <c r="F47" s="37">
        <f>'5 Afvanding'!E19</f>
        <v>0</v>
      </c>
      <c r="G47" s="37">
        <f>'5 Afvanding'!F19</f>
        <v>0</v>
      </c>
      <c r="H47" s="37">
        <f>'5 Afvanding'!G19</f>
        <v>0</v>
      </c>
      <c r="I47" s="37">
        <f>'5 Afvanding'!H19</f>
        <v>0</v>
      </c>
      <c r="J47" s="37">
        <f>'5 Afvanding'!I19</f>
        <v>0</v>
      </c>
      <c r="K47" s="37">
        <f>'5 Afvanding'!J19</f>
        <v>0</v>
      </c>
      <c r="L47" s="37">
        <f>'5 Afvanding'!K19</f>
        <v>0</v>
      </c>
      <c r="M47" s="37">
        <f>'5 Afvanding'!L19</f>
        <v>0</v>
      </c>
      <c r="N47" s="37">
        <f>'5 Afvanding'!M19</f>
        <v>0</v>
      </c>
      <c r="O47" s="37">
        <f>'5 Afvanding'!N19</f>
        <v>0</v>
      </c>
      <c r="P47" s="37">
        <f>'5 Afvanding'!O19</f>
        <v>0</v>
      </c>
      <c r="Q47" s="37">
        <f>'5 Afvanding'!P19</f>
        <v>0</v>
      </c>
      <c r="R47" s="37">
        <f>'5 Afvanding'!Q19</f>
        <v>0</v>
      </c>
      <c r="S47" s="37">
        <f>'5 Afvanding'!R19</f>
        <v>0</v>
      </c>
      <c r="T47" s="39">
        <f>'5 Afvanding'!S19</f>
        <v>0</v>
      </c>
      <c r="U47" s="40">
        <f>'5 Afvanding'!T19</f>
        <v>0</v>
      </c>
      <c r="V47" s="37" t="s">
        <v>98</v>
      </c>
      <c r="W47" s="37" t="s">
        <v>98</v>
      </c>
      <c r="X47" s="37" t="s">
        <v>98</v>
      </c>
    </row>
    <row r="48" spans="1:24" s="37" customFormat="1" x14ac:dyDescent="0.25">
      <c r="A48" s="37">
        <v>6</v>
      </c>
      <c r="B48" s="37" t="s">
        <v>190</v>
      </c>
      <c r="C48" s="37" t="s">
        <v>191</v>
      </c>
      <c r="D48" s="38" t="str">
        <f>'5 Afvanding'!C20</f>
        <v>STK</v>
      </c>
      <c r="E48" s="37">
        <f>'5 Afvanding'!D20</f>
        <v>0</v>
      </c>
      <c r="F48" s="37">
        <f>'5 Afvanding'!E20</f>
        <v>0</v>
      </c>
      <c r="G48" s="37">
        <f>'5 Afvanding'!F20</f>
        <v>0</v>
      </c>
      <c r="H48" s="37">
        <f>'5 Afvanding'!G20</f>
        <v>0</v>
      </c>
      <c r="I48" s="37">
        <f>'5 Afvanding'!H20</f>
        <v>0</v>
      </c>
      <c r="J48" s="37">
        <f>'5 Afvanding'!I20</f>
        <v>148</v>
      </c>
      <c r="K48" s="37">
        <f>'5 Afvanding'!J20</f>
        <v>0</v>
      </c>
      <c r="L48" s="37">
        <f>'5 Afvanding'!K20</f>
        <v>0</v>
      </c>
      <c r="M48" s="37">
        <f>'5 Afvanding'!L20</f>
        <v>0</v>
      </c>
      <c r="N48" s="37">
        <f>'5 Afvanding'!M20</f>
        <v>0</v>
      </c>
      <c r="O48" s="37">
        <f>'5 Afvanding'!N20</f>
        <v>0</v>
      </c>
      <c r="P48" s="37">
        <f>'5 Afvanding'!O20</f>
        <v>0</v>
      </c>
      <c r="Q48" s="37">
        <f>'5 Afvanding'!P20</f>
        <v>0</v>
      </c>
      <c r="R48" s="37">
        <f>'5 Afvanding'!Q20</f>
        <v>0</v>
      </c>
      <c r="S48" s="37">
        <f>'5 Afvanding'!R20</f>
        <v>148</v>
      </c>
      <c r="T48" s="39">
        <f>'5 Afvanding'!S20</f>
        <v>2861</v>
      </c>
      <c r="U48" s="40">
        <f>'5 Afvanding'!T20</f>
        <v>423428</v>
      </c>
      <c r="V48" s="37" t="s">
        <v>98</v>
      </c>
      <c r="W48" s="37" t="s">
        <v>822</v>
      </c>
      <c r="X48" s="37" t="s">
        <v>98</v>
      </c>
    </row>
    <row r="49" spans="1:24" s="37" customFormat="1" x14ac:dyDescent="0.25">
      <c r="A49" s="37">
        <v>6</v>
      </c>
      <c r="B49" s="37" t="s">
        <v>192</v>
      </c>
      <c r="C49" s="37" t="s">
        <v>193</v>
      </c>
      <c r="D49" s="38" t="str">
        <f>'5 Afvanding'!C21</f>
        <v>STK</v>
      </c>
      <c r="E49" s="37">
        <f>'5 Afvanding'!D21</f>
        <v>0</v>
      </c>
      <c r="F49" s="37">
        <f>'5 Afvanding'!E21</f>
        <v>0</v>
      </c>
      <c r="G49" s="37">
        <f>'5 Afvanding'!F21</f>
        <v>0</v>
      </c>
      <c r="H49" s="37">
        <f>'5 Afvanding'!G21</f>
        <v>0</v>
      </c>
      <c r="I49" s="37">
        <f>'5 Afvanding'!H21</f>
        <v>0</v>
      </c>
      <c r="J49" s="37">
        <f>'5 Afvanding'!I21</f>
        <v>29</v>
      </c>
      <c r="K49" s="37">
        <f>'5 Afvanding'!J21</f>
        <v>0</v>
      </c>
      <c r="L49" s="37">
        <f>'5 Afvanding'!K21</f>
        <v>0</v>
      </c>
      <c r="M49" s="37">
        <f>'5 Afvanding'!L21</f>
        <v>0</v>
      </c>
      <c r="N49" s="37">
        <f>'5 Afvanding'!M21</f>
        <v>0</v>
      </c>
      <c r="O49" s="37">
        <f>'5 Afvanding'!N21</f>
        <v>0</v>
      </c>
      <c r="P49" s="37">
        <f>'5 Afvanding'!O21</f>
        <v>0</v>
      </c>
      <c r="Q49" s="37">
        <f>'5 Afvanding'!P21</f>
        <v>0</v>
      </c>
      <c r="R49" s="37">
        <f>'5 Afvanding'!Q21</f>
        <v>0</v>
      </c>
      <c r="S49" s="37">
        <f>'5 Afvanding'!R21</f>
        <v>29</v>
      </c>
      <c r="T49" s="39">
        <f>'5 Afvanding'!S21</f>
        <v>2861</v>
      </c>
      <c r="U49" s="40">
        <f>'5 Afvanding'!T21</f>
        <v>82969</v>
      </c>
      <c r="V49" s="37" t="s">
        <v>98</v>
      </c>
      <c r="W49" s="37" t="s">
        <v>822</v>
      </c>
      <c r="X49" s="37" t="s">
        <v>98</v>
      </c>
    </row>
    <row r="50" spans="1:24" s="36" customFormat="1" x14ac:dyDescent="0.25">
      <c r="A50" s="28">
        <v>4</v>
      </c>
      <c r="B50" s="28" t="s">
        <v>194</v>
      </c>
      <c r="C50" s="28" t="s">
        <v>195</v>
      </c>
      <c r="D50" s="50" t="str">
        <f>'5 Afvanding'!C22</f>
        <v/>
      </c>
      <c r="E50" s="28">
        <f>'5 Afvanding'!D22</f>
        <v>0</v>
      </c>
      <c r="F50" s="28">
        <f>'5 Afvanding'!E22</f>
        <v>0</v>
      </c>
      <c r="G50" s="28">
        <f>'5 Afvanding'!F22</f>
        <v>0</v>
      </c>
      <c r="H50" s="28">
        <f>'5 Afvanding'!G22</f>
        <v>0</v>
      </c>
      <c r="I50" s="28">
        <f>'5 Afvanding'!H22</f>
        <v>0</v>
      </c>
      <c r="J50" s="28">
        <f>'5 Afvanding'!I22</f>
        <v>0</v>
      </c>
      <c r="K50" s="28">
        <f>'5 Afvanding'!J22</f>
        <v>0</v>
      </c>
      <c r="L50" s="28">
        <f>'5 Afvanding'!K22</f>
        <v>0</v>
      </c>
      <c r="M50" s="28">
        <f>'5 Afvanding'!L22</f>
        <v>0</v>
      </c>
      <c r="N50" s="28">
        <f>'5 Afvanding'!M22</f>
        <v>0</v>
      </c>
      <c r="O50" s="28">
        <f>'5 Afvanding'!N22</f>
        <v>0</v>
      </c>
      <c r="P50" s="28">
        <f>'5 Afvanding'!O22</f>
        <v>0</v>
      </c>
      <c r="Q50" s="28">
        <f>'5 Afvanding'!P22</f>
        <v>0</v>
      </c>
      <c r="R50" s="28">
        <f>'5 Afvanding'!Q22</f>
        <v>0</v>
      </c>
      <c r="S50" s="28">
        <f>'5 Afvanding'!R22</f>
        <v>0</v>
      </c>
      <c r="T50" s="51">
        <f>'5 Afvanding'!S22</f>
        <v>0</v>
      </c>
      <c r="U50" s="52">
        <f>'5 Afvanding'!T22</f>
        <v>0</v>
      </c>
      <c r="V50" s="28" t="s">
        <v>98</v>
      </c>
      <c r="W50" s="28" t="s">
        <v>98</v>
      </c>
      <c r="X50" s="28" t="s">
        <v>98</v>
      </c>
    </row>
    <row r="51" spans="1:24" s="37" customFormat="1" x14ac:dyDescent="0.25">
      <c r="A51" s="37">
        <v>5</v>
      </c>
      <c r="B51" s="37" t="s">
        <v>196</v>
      </c>
      <c r="C51" s="37" t="s">
        <v>197</v>
      </c>
      <c r="D51" s="38" t="str">
        <f>'5 Afvanding'!C23</f>
        <v/>
      </c>
      <c r="E51" s="37">
        <f>'5 Afvanding'!D23</f>
        <v>0</v>
      </c>
      <c r="F51" s="37">
        <f>'5 Afvanding'!E23</f>
        <v>0</v>
      </c>
      <c r="G51" s="37">
        <f>'5 Afvanding'!F23</f>
        <v>0</v>
      </c>
      <c r="H51" s="37">
        <f>'5 Afvanding'!G23</f>
        <v>0</v>
      </c>
      <c r="I51" s="37">
        <f>'5 Afvanding'!H23</f>
        <v>0</v>
      </c>
      <c r="J51" s="37">
        <f>'5 Afvanding'!I23</f>
        <v>0</v>
      </c>
      <c r="K51" s="37">
        <f>'5 Afvanding'!J23</f>
        <v>0</v>
      </c>
      <c r="L51" s="37">
        <f>'5 Afvanding'!K23</f>
        <v>0</v>
      </c>
      <c r="M51" s="37">
        <f>'5 Afvanding'!L23</f>
        <v>0</v>
      </c>
      <c r="N51" s="37">
        <f>'5 Afvanding'!M23</f>
        <v>0</v>
      </c>
      <c r="O51" s="37">
        <f>'5 Afvanding'!N23</f>
        <v>0</v>
      </c>
      <c r="P51" s="37">
        <f>'5 Afvanding'!O23</f>
        <v>0</v>
      </c>
      <c r="Q51" s="37">
        <f>'5 Afvanding'!P23</f>
        <v>0</v>
      </c>
      <c r="R51" s="37">
        <f>'5 Afvanding'!Q23</f>
        <v>0</v>
      </c>
      <c r="S51" s="37">
        <f>'5 Afvanding'!R23</f>
        <v>0</v>
      </c>
      <c r="T51" s="39">
        <f>'5 Afvanding'!S23</f>
        <v>0</v>
      </c>
      <c r="U51" s="40">
        <f>'5 Afvanding'!T23</f>
        <v>0</v>
      </c>
      <c r="V51" s="37" t="s">
        <v>98</v>
      </c>
      <c r="W51" s="37" t="s">
        <v>98</v>
      </c>
      <c r="X51" s="37" t="s">
        <v>98</v>
      </c>
    </row>
    <row r="52" spans="1:24" s="37" customFormat="1" x14ac:dyDescent="0.25">
      <c r="A52" s="37">
        <v>6</v>
      </c>
      <c r="B52" s="37" t="s">
        <v>198</v>
      </c>
      <c r="C52" s="37" t="s">
        <v>199</v>
      </c>
      <c r="D52" s="38" t="str">
        <f>'5 Afvanding'!C24</f>
        <v>STK</v>
      </c>
      <c r="E52" s="37">
        <f>'5 Afvanding'!D24</f>
        <v>0</v>
      </c>
      <c r="F52" s="37">
        <f>'5 Afvanding'!E24</f>
        <v>0</v>
      </c>
      <c r="G52" s="37">
        <f>'5 Afvanding'!F24</f>
        <v>0</v>
      </c>
      <c r="H52" s="37">
        <f>'5 Afvanding'!G24</f>
        <v>0</v>
      </c>
      <c r="I52" s="37">
        <f>'5 Afvanding'!H24</f>
        <v>0</v>
      </c>
      <c r="J52" s="37">
        <f>'5 Afvanding'!I24</f>
        <v>157</v>
      </c>
      <c r="K52" s="37">
        <f>'5 Afvanding'!J24</f>
        <v>0</v>
      </c>
      <c r="L52" s="37">
        <f>'5 Afvanding'!K24</f>
        <v>0</v>
      </c>
      <c r="M52" s="37">
        <f>'5 Afvanding'!L24</f>
        <v>0</v>
      </c>
      <c r="N52" s="37">
        <f>'5 Afvanding'!M24</f>
        <v>0</v>
      </c>
      <c r="O52" s="37">
        <f>'5 Afvanding'!N24</f>
        <v>0</v>
      </c>
      <c r="P52" s="37">
        <f>'5 Afvanding'!O24</f>
        <v>0</v>
      </c>
      <c r="Q52" s="37">
        <f>'5 Afvanding'!P24</f>
        <v>0</v>
      </c>
      <c r="R52" s="37">
        <f>'5 Afvanding'!Q24</f>
        <v>0</v>
      </c>
      <c r="S52" s="37">
        <f>'5 Afvanding'!R24</f>
        <v>157</v>
      </c>
      <c r="T52" s="39">
        <f>'5 Afvanding'!S24</f>
        <v>3923</v>
      </c>
      <c r="U52" s="40">
        <f>'5 Afvanding'!T24</f>
        <v>615911</v>
      </c>
      <c r="V52" s="37" t="s">
        <v>98</v>
      </c>
      <c r="W52" s="37" t="s">
        <v>822</v>
      </c>
      <c r="X52" s="37" t="s">
        <v>98</v>
      </c>
    </row>
    <row r="53" spans="1:24" s="37" customFormat="1" x14ac:dyDescent="0.25">
      <c r="A53" s="37">
        <v>6</v>
      </c>
      <c r="B53" s="37" t="s">
        <v>200</v>
      </c>
      <c r="C53" s="37" t="s">
        <v>201</v>
      </c>
      <c r="D53" s="38" t="str">
        <f>'5 Afvanding'!C25</f>
        <v>STK</v>
      </c>
      <c r="E53" s="37">
        <f>'5 Afvanding'!D25</f>
        <v>0</v>
      </c>
      <c r="F53" s="37">
        <f>'5 Afvanding'!E25</f>
        <v>0</v>
      </c>
      <c r="G53" s="37">
        <f>'5 Afvanding'!F25</f>
        <v>0</v>
      </c>
      <c r="H53" s="37">
        <f>'5 Afvanding'!G25</f>
        <v>0</v>
      </c>
      <c r="I53" s="37">
        <f>'5 Afvanding'!H25</f>
        <v>0</v>
      </c>
      <c r="J53" s="37">
        <f>'5 Afvanding'!I25</f>
        <v>82</v>
      </c>
      <c r="K53" s="37">
        <f>'5 Afvanding'!J25</f>
        <v>0</v>
      </c>
      <c r="L53" s="37">
        <f>'5 Afvanding'!K25</f>
        <v>0</v>
      </c>
      <c r="M53" s="37">
        <f>'5 Afvanding'!L25</f>
        <v>0</v>
      </c>
      <c r="N53" s="37">
        <f>'5 Afvanding'!M25</f>
        <v>0</v>
      </c>
      <c r="O53" s="37">
        <f>'5 Afvanding'!N25</f>
        <v>0</v>
      </c>
      <c r="P53" s="37">
        <f>'5 Afvanding'!O25</f>
        <v>0</v>
      </c>
      <c r="Q53" s="37">
        <f>'5 Afvanding'!P25</f>
        <v>0</v>
      </c>
      <c r="R53" s="37">
        <f>'5 Afvanding'!Q25</f>
        <v>0</v>
      </c>
      <c r="S53" s="37">
        <f>'5 Afvanding'!R25</f>
        <v>82</v>
      </c>
      <c r="T53" s="39">
        <f>'5 Afvanding'!S25</f>
        <v>6257</v>
      </c>
      <c r="U53" s="40">
        <f>'5 Afvanding'!T25</f>
        <v>513074</v>
      </c>
      <c r="V53" s="37" t="s">
        <v>98</v>
      </c>
      <c r="W53" s="37" t="s">
        <v>822</v>
      </c>
      <c r="X53" s="37" t="s">
        <v>98</v>
      </c>
    </row>
    <row r="54" spans="1:24" s="37" customFormat="1" x14ac:dyDescent="0.25">
      <c r="A54" s="37">
        <v>6</v>
      </c>
      <c r="B54" s="37" t="s">
        <v>202</v>
      </c>
      <c r="C54" s="37" t="s">
        <v>203</v>
      </c>
      <c r="D54" s="38" t="str">
        <f>'5 Afvanding'!C26</f>
        <v>STK</v>
      </c>
      <c r="E54" s="37">
        <f>'5 Afvanding'!D26</f>
        <v>0</v>
      </c>
      <c r="F54" s="37">
        <f>'5 Afvanding'!E26</f>
        <v>0</v>
      </c>
      <c r="G54" s="37">
        <f>'5 Afvanding'!F26</f>
        <v>0</v>
      </c>
      <c r="H54" s="37">
        <f>'5 Afvanding'!G26</f>
        <v>0</v>
      </c>
      <c r="I54" s="37">
        <f>'5 Afvanding'!H26</f>
        <v>0</v>
      </c>
      <c r="J54" s="37">
        <f>'5 Afvanding'!I26</f>
        <v>1</v>
      </c>
      <c r="K54" s="37">
        <f>'5 Afvanding'!J26</f>
        <v>0</v>
      </c>
      <c r="L54" s="37">
        <f>'5 Afvanding'!K26</f>
        <v>0</v>
      </c>
      <c r="M54" s="37">
        <f>'5 Afvanding'!L26</f>
        <v>0</v>
      </c>
      <c r="N54" s="37">
        <f>'5 Afvanding'!M26</f>
        <v>0</v>
      </c>
      <c r="O54" s="37">
        <f>'5 Afvanding'!N26</f>
        <v>0</v>
      </c>
      <c r="P54" s="37">
        <f>'5 Afvanding'!O26</f>
        <v>0</v>
      </c>
      <c r="Q54" s="37">
        <f>'5 Afvanding'!P26</f>
        <v>0</v>
      </c>
      <c r="R54" s="37">
        <f>'5 Afvanding'!Q26</f>
        <v>0</v>
      </c>
      <c r="S54" s="37">
        <f>'5 Afvanding'!R26</f>
        <v>1</v>
      </c>
      <c r="T54" s="39">
        <f>'5 Afvanding'!S26</f>
        <v>25501</v>
      </c>
      <c r="U54" s="40">
        <f>'5 Afvanding'!T26</f>
        <v>25501</v>
      </c>
      <c r="V54" s="37" t="s">
        <v>98</v>
      </c>
      <c r="W54" s="37" t="s">
        <v>98</v>
      </c>
      <c r="X54" s="37" t="s">
        <v>98</v>
      </c>
    </row>
    <row r="55" spans="1:24" s="36" customFormat="1" x14ac:dyDescent="0.25">
      <c r="A55" s="28">
        <v>4</v>
      </c>
      <c r="B55" s="28" t="s">
        <v>204</v>
      </c>
      <c r="C55" s="28" t="s">
        <v>205</v>
      </c>
      <c r="D55" s="50" t="str">
        <f>'5 Afvanding'!C27</f>
        <v/>
      </c>
      <c r="E55" s="28">
        <f>'5 Afvanding'!D27</f>
        <v>0</v>
      </c>
      <c r="F55" s="28">
        <f>'5 Afvanding'!E27</f>
        <v>0</v>
      </c>
      <c r="G55" s="28">
        <f>'5 Afvanding'!F27</f>
        <v>0</v>
      </c>
      <c r="H55" s="28">
        <f>'5 Afvanding'!G27</f>
        <v>0</v>
      </c>
      <c r="I55" s="28">
        <f>'5 Afvanding'!H27</f>
        <v>0</v>
      </c>
      <c r="J55" s="28">
        <f>'5 Afvanding'!I27</f>
        <v>0</v>
      </c>
      <c r="K55" s="28">
        <f>'5 Afvanding'!J27</f>
        <v>0</v>
      </c>
      <c r="L55" s="28">
        <f>'5 Afvanding'!K27</f>
        <v>0</v>
      </c>
      <c r="M55" s="28">
        <f>'5 Afvanding'!L27</f>
        <v>0</v>
      </c>
      <c r="N55" s="28">
        <f>'5 Afvanding'!M27</f>
        <v>0</v>
      </c>
      <c r="O55" s="28">
        <f>'5 Afvanding'!N27</f>
        <v>0</v>
      </c>
      <c r="P55" s="28">
        <f>'5 Afvanding'!O27</f>
        <v>0</v>
      </c>
      <c r="Q55" s="28">
        <f>'5 Afvanding'!P27</f>
        <v>0</v>
      </c>
      <c r="R55" s="28">
        <f>'5 Afvanding'!Q27</f>
        <v>0</v>
      </c>
      <c r="S55" s="28">
        <f>'5 Afvanding'!R27</f>
        <v>0</v>
      </c>
      <c r="T55" s="51">
        <f>'5 Afvanding'!S27</f>
        <v>0</v>
      </c>
      <c r="U55" s="52">
        <f>'5 Afvanding'!T27</f>
        <v>0</v>
      </c>
      <c r="V55" s="28" t="s">
        <v>98</v>
      </c>
      <c r="W55" s="28" t="s">
        <v>98</v>
      </c>
      <c r="X55" s="28" t="s">
        <v>98</v>
      </c>
    </row>
    <row r="56" spans="1:24" s="37" customFormat="1" x14ac:dyDescent="0.25">
      <c r="A56" s="37">
        <v>5</v>
      </c>
      <c r="B56" s="37" t="s">
        <v>206</v>
      </c>
      <c r="C56" s="37" t="s">
        <v>207</v>
      </c>
      <c r="D56" s="38" t="str">
        <f>'5 Afvanding'!C28</f>
        <v/>
      </c>
      <c r="E56" s="37">
        <f>'5 Afvanding'!D28</f>
        <v>0</v>
      </c>
      <c r="F56" s="37">
        <f>'5 Afvanding'!E28</f>
        <v>0</v>
      </c>
      <c r="G56" s="37">
        <f>'5 Afvanding'!F28</f>
        <v>0</v>
      </c>
      <c r="H56" s="37">
        <f>'5 Afvanding'!G28</f>
        <v>0</v>
      </c>
      <c r="I56" s="37">
        <f>'5 Afvanding'!H28</f>
        <v>0</v>
      </c>
      <c r="J56" s="37">
        <f>'5 Afvanding'!I28</f>
        <v>0</v>
      </c>
      <c r="K56" s="37">
        <f>'5 Afvanding'!J28</f>
        <v>0</v>
      </c>
      <c r="L56" s="37">
        <f>'5 Afvanding'!K28</f>
        <v>0</v>
      </c>
      <c r="M56" s="37">
        <f>'5 Afvanding'!L28</f>
        <v>0</v>
      </c>
      <c r="N56" s="37">
        <f>'5 Afvanding'!M28</f>
        <v>0</v>
      </c>
      <c r="O56" s="37">
        <f>'5 Afvanding'!N28</f>
        <v>0</v>
      </c>
      <c r="P56" s="37">
        <f>'5 Afvanding'!O28</f>
        <v>0</v>
      </c>
      <c r="Q56" s="37">
        <f>'5 Afvanding'!P28</f>
        <v>0</v>
      </c>
      <c r="R56" s="37">
        <f>'5 Afvanding'!Q28</f>
        <v>0</v>
      </c>
      <c r="S56" s="37">
        <f>'5 Afvanding'!R28</f>
        <v>0</v>
      </c>
      <c r="T56" s="39">
        <f>'5 Afvanding'!S28</f>
        <v>0</v>
      </c>
      <c r="U56" s="40">
        <f>'5 Afvanding'!T28</f>
        <v>0</v>
      </c>
      <c r="V56" s="37" t="s">
        <v>98</v>
      </c>
      <c r="W56" s="37" t="s">
        <v>98</v>
      </c>
      <c r="X56" s="37" t="s">
        <v>98</v>
      </c>
    </row>
    <row r="57" spans="1:24" s="37" customFormat="1" x14ac:dyDescent="0.25">
      <c r="A57" s="37">
        <v>6</v>
      </c>
      <c r="B57" s="37" t="s">
        <v>208</v>
      </c>
      <c r="C57" s="37" t="s">
        <v>201</v>
      </c>
      <c r="D57" s="38" t="str">
        <f>'5 Afvanding'!C29</f>
        <v>STK</v>
      </c>
      <c r="E57" s="37">
        <f>'5 Afvanding'!D29</f>
        <v>4</v>
      </c>
      <c r="F57" s="37">
        <f>'5 Afvanding'!E29</f>
        <v>0</v>
      </c>
      <c r="G57" s="37">
        <f>'5 Afvanding'!F29</f>
        <v>0</v>
      </c>
      <c r="H57" s="37">
        <f>'5 Afvanding'!G29</f>
        <v>0</v>
      </c>
      <c r="I57" s="37">
        <f>'5 Afvanding'!H29</f>
        <v>0</v>
      </c>
      <c r="J57" s="37">
        <f>'5 Afvanding'!I29</f>
        <v>5</v>
      </c>
      <c r="K57" s="37">
        <f>'5 Afvanding'!J29</f>
        <v>0</v>
      </c>
      <c r="L57" s="37">
        <f>'5 Afvanding'!K29</f>
        <v>0</v>
      </c>
      <c r="M57" s="37">
        <f>'5 Afvanding'!L29</f>
        <v>0</v>
      </c>
      <c r="N57" s="37">
        <f>'5 Afvanding'!M29</f>
        <v>0</v>
      </c>
      <c r="O57" s="37">
        <f>'5 Afvanding'!N29</f>
        <v>0</v>
      </c>
      <c r="P57" s="37">
        <f>'5 Afvanding'!O29</f>
        <v>0</v>
      </c>
      <c r="Q57" s="37">
        <f>'5 Afvanding'!P29</f>
        <v>0</v>
      </c>
      <c r="R57" s="37">
        <f>'5 Afvanding'!Q29</f>
        <v>0</v>
      </c>
      <c r="S57" s="37">
        <f>'5 Afvanding'!R29</f>
        <v>9</v>
      </c>
      <c r="T57" s="39">
        <f>'5 Afvanding'!S29</f>
        <v>8043</v>
      </c>
      <c r="U57" s="40">
        <f>'5 Afvanding'!T29</f>
        <v>72387</v>
      </c>
      <c r="V57" s="37" t="s">
        <v>98</v>
      </c>
      <c r="W57" s="37" t="s">
        <v>822</v>
      </c>
      <c r="X57" s="37" t="s">
        <v>98</v>
      </c>
    </row>
    <row r="58" spans="1:24" s="37" customFormat="1" x14ac:dyDescent="0.25">
      <c r="A58" s="37">
        <v>6</v>
      </c>
      <c r="B58" s="37" t="s">
        <v>209</v>
      </c>
      <c r="C58" s="37" t="s">
        <v>210</v>
      </c>
      <c r="D58" s="38" t="str">
        <f>'5 Afvanding'!C30</f>
        <v>STK</v>
      </c>
      <c r="E58" s="37">
        <f>'5 Afvanding'!D30</f>
        <v>1</v>
      </c>
      <c r="F58" s="37">
        <f>'5 Afvanding'!E30</f>
        <v>0</v>
      </c>
      <c r="G58" s="37">
        <f>'5 Afvanding'!F30</f>
        <v>0</v>
      </c>
      <c r="H58" s="37">
        <f>'5 Afvanding'!G30</f>
        <v>0</v>
      </c>
      <c r="I58" s="37">
        <f>'5 Afvanding'!H30</f>
        <v>0</v>
      </c>
      <c r="J58" s="37">
        <f>'5 Afvanding'!I30</f>
        <v>1</v>
      </c>
      <c r="K58" s="37">
        <f>'5 Afvanding'!J30</f>
        <v>0</v>
      </c>
      <c r="L58" s="37">
        <f>'5 Afvanding'!K30</f>
        <v>0</v>
      </c>
      <c r="M58" s="37">
        <f>'5 Afvanding'!L30</f>
        <v>0</v>
      </c>
      <c r="N58" s="37">
        <f>'5 Afvanding'!M30</f>
        <v>0</v>
      </c>
      <c r="O58" s="37">
        <f>'5 Afvanding'!N30</f>
        <v>0</v>
      </c>
      <c r="P58" s="37">
        <f>'5 Afvanding'!O30</f>
        <v>0</v>
      </c>
      <c r="Q58" s="37">
        <f>'5 Afvanding'!P30</f>
        <v>0</v>
      </c>
      <c r="R58" s="37">
        <f>'5 Afvanding'!Q30</f>
        <v>0</v>
      </c>
      <c r="S58" s="37">
        <f>'5 Afvanding'!R30</f>
        <v>2</v>
      </c>
      <c r="T58" s="39">
        <f>'5 Afvanding'!S30</f>
        <v>19060</v>
      </c>
      <c r="U58" s="40">
        <f>'5 Afvanding'!T30</f>
        <v>38120</v>
      </c>
      <c r="V58" s="37" t="s">
        <v>98</v>
      </c>
      <c r="W58" s="37" t="s">
        <v>98</v>
      </c>
      <c r="X58" s="37" t="s">
        <v>98</v>
      </c>
    </row>
    <row r="59" spans="1:24" s="37" customFormat="1" x14ac:dyDescent="0.25">
      <c r="A59" s="37">
        <v>5</v>
      </c>
      <c r="B59" s="37" t="s">
        <v>211</v>
      </c>
      <c r="C59" s="37" t="s">
        <v>212</v>
      </c>
      <c r="D59" s="38" t="str">
        <f>'5 Afvanding'!C31</f>
        <v/>
      </c>
      <c r="E59" s="37">
        <f>'5 Afvanding'!D31</f>
        <v>0</v>
      </c>
      <c r="F59" s="37">
        <f>'5 Afvanding'!E31</f>
        <v>0</v>
      </c>
      <c r="G59" s="37">
        <f>'5 Afvanding'!F31</f>
        <v>0</v>
      </c>
      <c r="H59" s="37">
        <f>'5 Afvanding'!G31</f>
        <v>0</v>
      </c>
      <c r="I59" s="37">
        <f>'5 Afvanding'!H31</f>
        <v>0</v>
      </c>
      <c r="J59" s="37">
        <f>'5 Afvanding'!I31</f>
        <v>0</v>
      </c>
      <c r="K59" s="37">
        <f>'5 Afvanding'!J31</f>
        <v>0</v>
      </c>
      <c r="L59" s="37">
        <f>'5 Afvanding'!K31</f>
        <v>0</v>
      </c>
      <c r="M59" s="37">
        <f>'5 Afvanding'!L31</f>
        <v>0</v>
      </c>
      <c r="N59" s="37">
        <f>'5 Afvanding'!M31</f>
        <v>0</v>
      </c>
      <c r="O59" s="37">
        <f>'5 Afvanding'!N31</f>
        <v>0</v>
      </c>
      <c r="P59" s="37">
        <f>'5 Afvanding'!O31</f>
        <v>0</v>
      </c>
      <c r="Q59" s="37">
        <f>'5 Afvanding'!P31</f>
        <v>0</v>
      </c>
      <c r="R59" s="37">
        <f>'5 Afvanding'!Q31</f>
        <v>0</v>
      </c>
      <c r="S59" s="37">
        <f>'5 Afvanding'!R31</f>
        <v>0</v>
      </c>
      <c r="T59" s="39">
        <f>'5 Afvanding'!S31</f>
        <v>0</v>
      </c>
      <c r="U59" s="40">
        <f>'5 Afvanding'!T31</f>
        <v>0</v>
      </c>
      <c r="V59" s="37" t="s">
        <v>98</v>
      </c>
      <c r="W59" s="37" t="s">
        <v>98</v>
      </c>
      <c r="X59" s="37" t="s">
        <v>98</v>
      </c>
    </row>
    <row r="60" spans="1:24" s="37" customFormat="1" x14ac:dyDescent="0.25">
      <c r="A60" s="37">
        <v>6</v>
      </c>
      <c r="B60" s="37" t="s">
        <v>213</v>
      </c>
      <c r="C60" s="37" t="s">
        <v>201</v>
      </c>
      <c r="D60" s="38" t="str">
        <f>'5 Afvanding'!C32</f>
        <v>STK</v>
      </c>
      <c r="E60" s="37">
        <f>'5 Afvanding'!D32</f>
        <v>6</v>
      </c>
      <c r="F60" s="37">
        <f>'5 Afvanding'!E32</f>
        <v>0</v>
      </c>
      <c r="G60" s="37">
        <f>'5 Afvanding'!F32</f>
        <v>0</v>
      </c>
      <c r="H60" s="37">
        <f>'5 Afvanding'!G32</f>
        <v>0</v>
      </c>
      <c r="I60" s="37">
        <f>'5 Afvanding'!H32</f>
        <v>0</v>
      </c>
      <c r="J60" s="37">
        <f>'5 Afvanding'!I32</f>
        <v>0</v>
      </c>
      <c r="K60" s="37">
        <f>'5 Afvanding'!J32</f>
        <v>0</v>
      </c>
      <c r="L60" s="37">
        <f>'5 Afvanding'!K32</f>
        <v>0</v>
      </c>
      <c r="M60" s="37">
        <f>'5 Afvanding'!L32</f>
        <v>0</v>
      </c>
      <c r="N60" s="37">
        <f>'5 Afvanding'!M32</f>
        <v>0</v>
      </c>
      <c r="O60" s="37">
        <f>'5 Afvanding'!N32</f>
        <v>0</v>
      </c>
      <c r="P60" s="37">
        <f>'5 Afvanding'!O32</f>
        <v>0</v>
      </c>
      <c r="Q60" s="37">
        <f>'5 Afvanding'!P32</f>
        <v>0</v>
      </c>
      <c r="R60" s="37">
        <f>'5 Afvanding'!Q32</f>
        <v>0</v>
      </c>
      <c r="S60" s="37">
        <f>'5 Afvanding'!R32</f>
        <v>6</v>
      </c>
      <c r="T60" s="39">
        <f>'5 Afvanding'!S32</f>
        <v>15312</v>
      </c>
      <c r="U60" s="40">
        <f>'5 Afvanding'!T32</f>
        <v>91872</v>
      </c>
      <c r="V60" s="37" t="s">
        <v>98</v>
      </c>
      <c r="W60" s="37" t="s">
        <v>822</v>
      </c>
      <c r="X60" s="37" t="s">
        <v>98</v>
      </c>
    </row>
    <row r="61" spans="1:24" s="37" customFormat="1" x14ac:dyDescent="0.25">
      <c r="A61" s="37">
        <v>6</v>
      </c>
      <c r="B61" s="37" t="s">
        <v>214</v>
      </c>
      <c r="C61" s="37" t="s">
        <v>210</v>
      </c>
      <c r="D61" s="38" t="str">
        <f>'5 Afvanding'!C33</f>
        <v>STK</v>
      </c>
      <c r="E61" s="37">
        <f>'5 Afvanding'!D33</f>
        <v>3</v>
      </c>
      <c r="F61" s="37">
        <f>'5 Afvanding'!E33</f>
        <v>0</v>
      </c>
      <c r="G61" s="37">
        <f>'5 Afvanding'!F33</f>
        <v>0</v>
      </c>
      <c r="H61" s="37">
        <f>'5 Afvanding'!G33</f>
        <v>0</v>
      </c>
      <c r="I61" s="37">
        <f>'5 Afvanding'!H33</f>
        <v>0</v>
      </c>
      <c r="J61" s="37">
        <f>'5 Afvanding'!I33</f>
        <v>1</v>
      </c>
      <c r="K61" s="37">
        <f>'5 Afvanding'!J33</f>
        <v>0</v>
      </c>
      <c r="L61" s="37">
        <f>'5 Afvanding'!K33</f>
        <v>0</v>
      </c>
      <c r="M61" s="37">
        <f>'5 Afvanding'!L33</f>
        <v>0</v>
      </c>
      <c r="N61" s="37">
        <f>'5 Afvanding'!M33</f>
        <v>0</v>
      </c>
      <c r="O61" s="37">
        <f>'5 Afvanding'!N33</f>
        <v>0</v>
      </c>
      <c r="P61" s="37">
        <f>'5 Afvanding'!O33</f>
        <v>0</v>
      </c>
      <c r="Q61" s="37">
        <f>'5 Afvanding'!P33</f>
        <v>0</v>
      </c>
      <c r="R61" s="37">
        <f>'5 Afvanding'!Q33</f>
        <v>0</v>
      </c>
      <c r="S61" s="37">
        <f>'5 Afvanding'!R33</f>
        <v>4</v>
      </c>
      <c r="T61" s="39">
        <f>'5 Afvanding'!S33</f>
        <v>22731</v>
      </c>
      <c r="U61" s="40">
        <f>'5 Afvanding'!T33</f>
        <v>90924</v>
      </c>
      <c r="V61" s="37" t="s">
        <v>98</v>
      </c>
      <c r="W61" s="37" t="s">
        <v>98</v>
      </c>
      <c r="X61" s="37" t="s">
        <v>98</v>
      </c>
    </row>
    <row r="62" spans="1:24" s="36" customFormat="1" x14ac:dyDescent="0.25">
      <c r="A62" s="28">
        <v>4</v>
      </c>
      <c r="B62" s="28" t="s">
        <v>215</v>
      </c>
      <c r="C62" s="28" t="s">
        <v>216</v>
      </c>
      <c r="D62" s="50" t="str">
        <f>'5 Afvanding'!C34</f>
        <v/>
      </c>
      <c r="E62" s="28">
        <f>'5 Afvanding'!D34</f>
        <v>0</v>
      </c>
      <c r="F62" s="28">
        <f>'5 Afvanding'!E34</f>
        <v>0</v>
      </c>
      <c r="G62" s="28">
        <f>'5 Afvanding'!F34</f>
        <v>0</v>
      </c>
      <c r="H62" s="28">
        <f>'5 Afvanding'!G34</f>
        <v>0</v>
      </c>
      <c r="I62" s="28">
        <f>'5 Afvanding'!H34</f>
        <v>0</v>
      </c>
      <c r="J62" s="28">
        <f>'5 Afvanding'!I34</f>
        <v>0</v>
      </c>
      <c r="K62" s="28">
        <f>'5 Afvanding'!J34</f>
        <v>0</v>
      </c>
      <c r="L62" s="28">
        <f>'5 Afvanding'!K34</f>
        <v>0</v>
      </c>
      <c r="M62" s="28">
        <f>'5 Afvanding'!L34</f>
        <v>0</v>
      </c>
      <c r="N62" s="28">
        <f>'5 Afvanding'!M34</f>
        <v>0</v>
      </c>
      <c r="O62" s="28">
        <f>'5 Afvanding'!N34</f>
        <v>0</v>
      </c>
      <c r="P62" s="28">
        <f>'5 Afvanding'!O34</f>
        <v>0</v>
      </c>
      <c r="Q62" s="28">
        <f>'5 Afvanding'!P34</f>
        <v>0</v>
      </c>
      <c r="R62" s="28">
        <f>'5 Afvanding'!Q34</f>
        <v>0</v>
      </c>
      <c r="S62" s="28">
        <f>'5 Afvanding'!R34</f>
        <v>0</v>
      </c>
      <c r="T62" s="51">
        <f>'5 Afvanding'!S34</f>
        <v>0</v>
      </c>
      <c r="U62" s="52">
        <f>'5 Afvanding'!T34</f>
        <v>0</v>
      </c>
      <c r="V62" s="28" t="s">
        <v>98</v>
      </c>
      <c r="W62" s="28" t="s">
        <v>98</v>
      </c>
      <c r="X62" s="28" t="s">
        <v>98</v>
      </c>
    </row>
    <row r="63" spans="1:24" s="37" customFormat="1" x14ac:dyDescent="0.25">
      <c r="A63" s="37">
        <v>5</v>
      </c>
      <c r="B63" s="37" t="s">
        <v>217</v>
      </c>
      <c r="C63" s="37" t="s">
        <v>218</v>
      </c>
      <c r="D63" s="38" t="str">
        <f>'5 Afvanding'!C35</f>
        <v>M</v>
      </c>
      <c r="E63" s="37">
        <f>'5 Afvanding'!D35</f>
        <v>0</v>
      </c>
      <c r="F63" s="37">
        <f>'5 Afvanding'!E35</f>
        <v>190</v>
      </c>
      <c r="G63" s="37">
        <f>'5 Afvanding'!F35</f>
        <v>0</v>
      </c>
      <c r="H63" s="37">
        <f>'5 Afvanding'!G35</f>
        <v>31</v>
      </c>
      <c r="I63" s="37">
        <f>'5 Afvanding'!H35</f>
        <v>0</v>
      </c>
      <c r="J63" s="37">
        <f>'5 Afvanding'!I35</f>
        <v>0</v>
      </c>
      <c r="K63" s="37">
        <f>'5 Afvanding'!J35</f>
        <v>0</v>
      </c>
      <c r="L63" s="37">
        <f>'5 Afvanding'!K35</f>
        <v>0</v>
      </c>
      <c r="M63" s="37">
        <f>'5 Afvanding'!L35</f>
        <v>0</v>
      </c>
      <c r="N63" s="37">
        <f>'5 Afvanding'!M35</f>
        <v>0</v>
      </c>
      <c r="O63" s="37">
        <f>'5 Afvanding'!N35</f>
        <v>0</v>
      </c>
      <c r="P63" s="37">
        <f>'5 Afvanding'!O35</f>
        <v>0</v>
      </c>
      <c r="Q63" s="37">
        <f>'5 Afvanding'!P35</f>
        <v>0</v>
      </c>
      <c r="R63" s="37">
        <f>'5 Afvanding'!Q35</f>
        <v>0</v>
      </c>
      <c r="S63" s="37">
        <f>'5 Afvanding'!R35</f>
        <v>221</v>
      </c>
      <c r="T63" s="39">
        <f>'5 Afvanding'!S35</f>
        <v>179</v>
      </c>
      <c r="U63" s="40">
        <f>'5 Afvanding'!T35</f>
        <v>39559</v>
      </c>
      <c r="V63" s="37" t="s">
        <v>98</v>
      </c>
      <c r="W63" s="37" t="s">
        <v>822</v>
      </c>
      <c r="X63" s="37" t="s">
        <v>98</v>
      </c>
    </row>
    <row r="64" spans="1:24" s="37" customFormat="1" x14ac:dyDescent="0.25">
      <c r="A64" s="37">
        <v>5</v>
      </c>
      <c r="B64" s="37" t="s">
        <v>219</v>
      </c>
      <c r="C64" s="37" t="s">
        <v>220</v>
      </c>
      <c r="D64" s="38" t="str">
        <f>'5 Afvanding'!C36</f>
        <v>STK</v>
      </c>
      <c r="E64" s="37">
        <f>'5 Afvanding'!D36</f>
        <v>0</v>
      </c>
      <c r="F64" s="37">
        <f>'5 Afvanding'!E36</f>
        <v>5</v>
      </c>
      <c r="G64" s="37">
        <f>'5 Afvanding'!F36</f>
        <v>0</v>
      </c>
      <c r="H64" s="37">
        <f>'5 Afvanding'!G36</f>
        <v>0</v>
      </c>
      <c r="I64" s="37">
        <f>'5 Afvanding'!H36</f>
        <v>0</v>
      </c>
      <c r="J64" s="37">
        <f>'5 Afvanding'!I36</f>
        <v>0</v>
      </c>
      <c r="K64" s="37">
        <f>'5 Afvanding'!J36</f>
        <v>0</v>
      </c>
      <c r="L64" s="37">
        <f>'5 Afvanding'!K36</f>
        <v>0</v>
      </c>
      <c r="M64" s="37">
        <f>'5 Afvanding'!L36</f>
        <v>0</v>
      </c>
      <c r="N64" s="37">
        <f>'5 Afvanding'!M36</f>
        <v>0</v>
      </c>
      <c r="O64" s="37">
        <f>'5 Afvanding'!N36</f>
        <v>0</v>
      </c>
      <c r="P64" s="37">
        <f>'5 Afvanding'!O36</f>
        <v>0</v>
      </c>
      <c r="Q64" s="37">
        <f>'5 Afvanding'!P36</f>
        <v>0</v>
      </c>
      <c r="R64" s="37">
        <f>'5 Afvanding'!Q36</f>
        <v>0</v>
      </c>
      <c r="S64" s="37">
        <f>'5 Afvanding'!R36</f>
        <v>5</v>
      </c>
      <c r="T64" s="39">
        <f>'5 Afvanding'!S36</f>
        <v>24162</v>
      </c>
      <c r="U64" s="40">
        <f>'5 Afvanding'!T36</f>
        <v>120810</v>
      </c>
      <c r="V64" s="37" t="s">
        <v>98</v>
      </c>
      <c r="W64" s="37" t="s">
        <v>822</v>
      </c>
      <c r="X64" s="37" t="s">
        <v>98</v>
      </c>
    </row>
    <row r="65" spans="1:24" s="37" customFormat="1" x14ac:dyDescent="0.25">
      <c r="A65" s="37">
        <v>5</v>
      </c>
      <c r="B65" s="37" t="s">
        <v>221</v>
      </c>
      <c r="C65" s="37" t="s">
        <v>222</v>
      </c>
      <c r="D65" s="38" t="str">
        <f>'5 Afvanding'!C37</f>
        <v>STK</v>
      </c>
      <c r="E65" s="37">
        <f>'5 Afvanding'!D37</f>
        <v>0</v>
      </c>
      <c r="F65" s="37">
        <f>'5 Afvanding'!E37</f>
        <v>11</v>
      </c>
      <c r="G65" s="37">
        <f>'5 Afvanding'!F37</f>
        <v>0</v>
      </c>
      <c r="H65" s="37">
        <f>'5 Afvanding'!G37</f>
        <v>0</v>
      </c>
      <c r="I65" s="37">
        <f>'5 Afvanding'!H37</f>
        <v>0</v>
      </c>
      <c r="J65" s="37">
        <f>'5 Afvanding'!I37</f>
        <v>0</v>
      </c>
      <c r="K65" s="37">
        <f>'5 Afvanding'!J37</f>
        <v>0</v>
      </c>
      <c r="L65" s="37">
        <f>'5 Afvanding'!K37</f>
        <v>0</v>
      </c>
      <c r="M65" s="37">
        <f>'5 Afvanding'!L37</f>
        <v>0</v>
      </c>
      <c r="N65" s="37">
        <f>'5 Afvanding'!M37</f>
        <v>0</v>
      </c>
      <c r="O65" s="37">
        <f>'5 Afvanding'!N37</f>
        <v>0</v>
      </c>
      <c r="P65" s="37">
        <f>'5 Afvanding'!O37</f>
        <v>0</v>
      </c>
      <c r="Q65" s="37">
        <f>'5 Afvanding'!P37</f>
        <v>0</v>
      </c>
      <c r="R65" s="37">
        <f>'5 Afvanding'!Q37</f>
        <v>0</v>
      </c>
      <c r="S65" s="37">
        <f>'5 Afvanding'!R37</f>
        <v>11</v>
      </c>
      <c r="T65" s="39">
        <f>'5 Afvanding'!S37</f>
        <v>36374</v>
      </c>
      <c r="U65" s="40">
        <f>'5 Afvanding'!T37</f>
        <v>400114</v>
      </c>
      <c r="V65" s="37" t="s">
        <v>98</v>
      </c>
      <c r="W65" s="37" t="s">
        <v>822</v>
      </c>
      <c r="X65" s="37" t="s">
        <v>98</v>
      </c>
    </row>
    <row r="66" spans="1:24" s="36" customFormat="1" x14ac:dyDescent="0.25">
      <c r="A66" s="28">
        <v>4</v>
      </c>
      <c r="B66" s="28" t="s">
        <v>223</v>
      </c>
      <c r="C66" s="28" t="s">
        <v>224</v>
      </c>
      <c r="D66" s="50" t="str">
        <f>'5 Afvanding'!C38</f>
        <v/>
      </c>
      <c r="E66" s="28">
        <f>'5 Afvanding'!D38</f>
        <v>0</v>
      </c>
      <c r="F66" s="28">
        <f>'5 Afvanding'!E38</f>
        <v>0</v>
      </c>
      <c r="G66" s="28">
        <f>'5 Afvanding'!F38</f>
        <v>0</v>
      </c>
      <c r="H66" s="28">
        <f>'5 Afvanding'!G38</f>
        <v>0</v>
      </c>
      <c r="I66" s="28">
        <f>'5 Afvanding'!H38</f>
        <v>0</v>
      </c>
      <c r="J66" s="28">
        <f>'5 Afvanding'!I38</f>
        <v>0</v>
      </c>
      <c r="K66" s="28">
        <f>'5 Afvanding'!J38</f>
        <v>0</v>
      </c>
      <c r="L66" s="28">
        <f>'5 Afvanding'!K38</f>
        <v>0</v>
      </c>
      <c r="M66" s="28">
        <f>'5 Afvanding'!L38</f>
        <v>0</v>
      </c>
      <c r="N66" s="28">
        <f>'5 Afvanding'!M38</f>
        <v>0</v>
      </c>
      <c r="O66" s="28">
        <f>'5 Afvanding'!N38</f>
        <v>0</v>
      </c>
      <c r="P66" s="28">
        <f>'5 Afvanding'!O38</f>
        <v>0</v>
      </c>
      <c r="Q66" s="28">
        <f>'5 Afvanding'!P38</f>
        <v>0</v>
      </c>
      <c r="R66" s="28">
        <f>'5 Afvanding'!Q38</f>
        <v>0</v>
      </c>
      <c r="S66" s="28">
        <f>'5 Afvanding'!R38</f>
        <v>0</v>
      </c>
      <c r="T66" s="51">
        <f>'5 Afvanding'!S38</f>
        <v>0</v>
      </c>
      <c r="U66" s="52">
        <f>'5 Afvanding'!T38</f>
        <v>0</v>
      </c>
      <c r="V66" s="28" t="s">
        <v>98</v>
      </c>
      <c r="W66" s="28" t="s">
        <v>98</v>
      </c>
      <c r="X66" s="28" t="s">
        <v>98</v>
      </c>
    </row>
    <row r="67" spans="1:24" s="37" customFormat="1" x14ac:dyDescent="0.25">
      <c r="A67" s="37">
        <v>5</v>
      </c>
      <c r="B67" s="37" t="s">
        <v>225</v>
      </c>
      <c r="C67" s="37" t="s">
        <v>226</v>
      </c>
      <c r="D67" s="38" t="str">
        <f>'5 Afvanding'!C39</f>
        <v>M</v>
      </c>
      <c r="E67" s="37">
        <f>'5 Afvanding'!D39</f>
        <v>0</v>
      </c>
      <c r="F67" s="37">
        <f>'5 Afvanding'!E39</f>
        <v>188</v>
      </c>
      <c r="G67" s="37">
        <f>'5 Afvanding'!F39</f>
        <v>0</v>
      </c>
      <c r="H67" s="37">
        <f>'5 Afvanding'!G39</f>
        <v>27</v>
      </c>
      <c r="I67" s="37">
        <f>'5 Afvanding'!H39</f>
        <v>0</v>
      </c>
      <c r="J67" s="37">
        <f>'5 Afvanding'!I39</f>
        <v>8929</v>
      </c>
      <c r="K67" s="37">
        <f>'5 Afvanding'!J39</f>
        <v>0</v>
      </c>
      <c r="L67" s="37">
        <f>'5 Afvanding'!K39</f>
        <v>0</v>
      </c>
      <c r="M67" s="37">
        <f>'5 Afvanding'!L39</f>
        <v>0</v>
      </c>
      <c r="N67" s="37">
        <f>'5 Afvanding'!M39</f>
        <v>0</v>
      </c>
      <c r="O67" s="37">
        <f>'5 Afvanding'!N39</f>
        <v>0</v>
      </c>
      <c r="P67" s="37">
        <f>'5 Afvanding'!O39</f>
        <v>0</v>
      </c>
      <c r="Q67" s="37">
        <f>'5 Afvanding'!P39</f>
        <v>0</v>
      </c>
      <c r="R67" s="37">
        <f>'5 Afvanding'!Q39</f>
        <v>0</v>
      </c>
      <c r="S67" s="37">
        <f>'5 Afvanding'!R39</f>
        <v>9144</v>
      </c>
      <c r="T67" s="39">
        <f>'5 Afvanding'!S39</f>
        <v>344</v>
      </c>
      <c r="U67" s="40">
        <f>'5 Afvanding'!T39</f>
        <v>3145536</v>
      </c>
      <c r="V67" s="37" t="s">
        <v>98</v>
      </c>
      <c r="W67" s="37" t="s">
        <v>98</v>
      </c>
      <c r="X67" s="37" t="s">
        <v>98</v>
      </c>
    </row>
    <row r="68" spans="1:24" s="37" customFormat="1" x14ac:dyDescent="0.25">
      <c r="A68" s="37">
        <v>5</v>
      </c>
      <c r="B68" s="37" t="s">
        <v>227</v>
      </c>
      <c r="C68" s="37" t="s">
        <v>228</v>
      </c>
      <c r="D68" s="38" t="str">
        <f>'5 Afvanding'!C40</f>
        <v>M</v>
      </c>
      <c r="E68" s="37">
        <f>'5 Afvanding'!D40</f>
        <v>30</v>
      </c>
      <c r="F68" s="37">
        <f>'5 Afvanding'!E40</f>
        <v>0</v>
      </c>
      <c r="G68" s="37">
        <f>'5 Afvanding'!F40</f>
        <v>0</v>
      </c>
      <c r="H68" s="37">
        <f>'5 Afvanding'!G40</f>
        <v>0</v>
      </c>
      <c r="I68" s="37">
        <f>'5 Afvanding'!H40</f>
        <v>0</v>
      </c>
      <c r="J68" s="37">
        <f>'5 Afvanding'!I40</f>
        <v>250</v>
      </c>
      <c r="K68" s="37">
        <f>'5 Afvanding'!J40</f>
        <v>0</v>
      </c>
      <c r="L68" s="37">
        <f>'5 Afvanding'!K40</f>
        <v>0</v>
      </c>
      <c r="M68" s="37">
        <f>'5 Afvanding'!L40</f>
        <v>0</v>
      </c>
      <c r="N68" s="37">
        <f>'5 Afvanding'!M40</f>
        <v>0</v>
      </c>
      <c r="O68" s="37">
        <f>'5 Afvanding'!N40</f>
        <v>0</v>
      </c>
      <c r="P68" s="37">
        <f>'5 Afvanding'!O40</f>
        <v>0</v>
      </c>
      <c r="Q68" s="37">
        <f>'5 Afvanding'!P40</f>
        <v>0</v>
      </c>
      <c r="R68" s="37">
        <f>'5 Afvanding'!Q40</f>
        <v>0</v>
      </c>
      <c r="S68" s="37">
        <f>'5 Afvanding'!R40</f>
        <v>280</v>
      </c>
      <c r="T68" s="39">
        <f>'5 Afvanding'!S40</f>
        <v>1183</v>
      </c>
      <c r="U68" s="40">
        <f>'5 Afvanding'!T40</f>
        <v>331240</v>
      </c>
      <c r="V68" s="37" t="s">
        <v>98</v>
      </c>
      <c r="W68" s="37" t="s">
        <v>98</v>
      </c>
      <c r="X68" s="37" t="s">
        <v>98</v>
      </c>
    </row>
    <row r="69" spans="1:24" s="36" customFormat="1" x14ac:dyDescent="0.25">
      <c r="A69" s="28">
        <v>4</v>
      </c>
      <c r="B69" s="28" t="s">
        <v>229</v>
      </c>
      <c r="C69" s="28" t="s">
        <v>230</v>
      </c>
      <c r="D69" s="50" t="str">
        <f>'5 Afvanding'!C41</f>
        <v/>
      </c>
      <c r="E69" s="28">
        <f>'5 Afvanding'!D41</f>
        <v>0</v>
      </c>
      <c r="F69" s="28">
        <f>'5 Afvanding'!E41</f>
        <v>0</v>
      </c>
      <c r="G69" s="28">
        <f>'5 Afvanding'!F41</f>
        <v>0</v>
      </c>
      <c r="H69" s="28">
        <f>'5 Afvanding'!G41</f>
        <v>0</v>
      </c>
      <c r="I69" s="28">
        <f>'5 Afvanding'!H41</f>
        <v>0</v>
      </c>
      <c r="J69" s="28">
        <f>'5 Afvanding'!I41</f>
        <v>0</v>
      </c>
      <c r="K69" s="28">
        <f>'5 Afvanding'!J41</f>
        <v>0</v>
      </c>
      <c r="L69" s="28">
        <f>'5 Afvanding'!K41</f>
        <v>0</v>
      </c>
      <c r="M69" s="28">
        <f>'5 Afvanding'!L41</f>
        <v>0</v>
      </c>
      <c r="N69" s="28">
        <f>'5 Afvanding'!M41</f>
        <v>0</v>
      </c>
      <c r="O69" s="28">
        <f>'5 Afvanding'!N41</f>
        <v>0</v>
      </c>
      <c r="P69" s="28">
        <f>'5 Afvanding'!O41</f>
        <v>0</v>
      </c>
      <c r="Q69" s="28">
        <f>'5 Afvanding'!P41</f>
        <v>0</v>
      </c>
      <c r="R69" s="28">
        <f>'5 Afvanding'!Q41</f>
        <v>0</v>
      </c>
      <c r="S69" s="28">
        <f>'5 Afvanding'!R41</f>
        <v>0</v>
      </c>
      <c r="T69" s="51">
        <f>'5 Afvanding'!S41</f>
        <v>0</v>
      </c>
      <c r="U69" s="52">
        <f>'5 Afvanding'!T41</f>
        <v>0</v>
      </c>
      <c r="V69" s="28" t="s">
        <v>98</v>
      </c>
      <c r="W69" s="28" t="s">
        <v>98</v>
      </c>
      <c r="X69" s="28" t="s">
        <v>98</v>
      </c>
    </row>
    <row r="70" spans="1:24" s="37" customFormat="1" x14ac:dyDescent="0.25">
      <c r="A70" s="37">
        <v>5</v>
      </c>
      <c r="B70" s="37" t="s">
        <v>231</v>
      </c>
      <c r="C70" s="37" t="s">
        <v>232</v>
      </c>
      <c r="D70" s="38" t="str">
        <f>'5 Afvanding'!C42</f>
        <v>M</v>
      </c>
      <c r="E70" s="37">
        <f>'5 Afvanding'!D42</f>
        <v>0</v>
      </c>
      <c r="F70" s="37">
        <f>'5 Afvanding'!E42</f>
        <v>0</v>
      </c>
      <c r="G70" s="37">
        <f>'5 Afvanding'!F42</f>
        <v>0</v>
      </c>
      <c r="H70" s="37">
        <f>'5 Afvanding'!G42</f>
        <v>0</v>
      </c>
      <c r="I70" s="37">
        <f>'5 Afvanding'!H42</f>
        <v>0</v>
      </c>
      <c r="J70" s="37">
        <f>'5 Afvanding'!I42</f>
        <v>394</v>
      </c>
      <c r="K70" s="37">
        <f>'5 Afvanding'!J42</f>
        <v>0</v>
      </c>
      <c r="L70" s="37">
        <f>'5 Afvanding'!K42</f>
        <v>0</v>
      </c>
      <c r="M70" s="37">
        <f>'5 Afvanding'!L42</f>
        <v>0</v>
      </c>
      <c r="N70" s="37">
        <f>'5 Afvanding'!M42</f>
        <v>0</v>
      </c>
      <c r="O70" s="37">
        <f>'5 Afvanding'!N42</f>
        <v>0</v>
      </c>
      <c r="P70" s="37">
        <f>'5 Afvanding'!O42</f>
        <v>0</v>
      </c>
      <c r="Q70" s="37">
        <f>'5 Afvanding'!P42</f>
        <v>0</v>
      </c>
      <c r="R70" s="37">
        <f>'5 Afvanding'!Q42</f>
        <v>0</v>
      </c>
      <c r="S70" s="37">
        <f>'5 Afvanding'!R42</f>
        <v>394</v>
      </c>
      <c r="T70" s="39">
        <f>'5 Afvanding'!S42</f>
        <v>916</v>
      </c>
      <c r="U70" s="40">
        <f>'5 Afvanding'!T42</f>
        <v>360904</v>
      </c>
      <c r="V70" s="37" t="s">
        <v>98</v>
      </c>
      <c r="W70" s="37" t="s">
        <v>822</v>
      </c>
      <c r="X70" s="37" t="s">
        <v>98</v>
      </c>
    </row>
    <row r="71" spans="1:24" s="37" customFormat="1" x14ac:dyDescent="0.25">
      <c r="A71" s="37">
        <v>5</v>
      </c>
      <c r="B71" s="37" t="s">
        <v>233</v>
      </c>
      <c r="C71" s="37" t="s">
        <v>234</v>
      </c>
      <c r="D71" s="38" t="str">
        <f>'5 Afvanding'!C43</f>
        <v/>
      </c>
      <c r="E71" s="37">
        <f>'5 Afvanding'!D43</f>
        <v>0</v>
      </c>
      <c r="F71" s="37">
        <f>'5 Afvanding'!E43</f>
        <v>0</v>
      </c>
      <c r="G71" s="37">
        <f>'5 Afvanding'!F43</f>
        <v>0</v>
      </c>
      <c r="H71" s="37">
        <f>'5 Afvanding'!G43</f>
        <v>0</v>
      </c>
      <c r="I71" s="37">
        <f>'5 Afvanding'!H43</f>
        <v>0</v>
      </c>
      <c r="J71" s="37">
        <f>'5 Afvanding'!I43</f>
        <v>0</v>
      </c>
      <c r="K71" s="37">
        <f>'5 Afvanding'!J43</f>
        <v>0</v>
      </c>
      <c r="L71" s="37">
        <f>'5 Afvanding'!K43</f>
        <v>0</v>
      </c>
      <c r="M71" s="37">
        <f>'5 Afvanding'!L43</f>
        <v>0</v>
      </c>
      <c r="N71" s="37">
        <f>'5 Afvanding'!M43</f>
        <v>0</v>
      </c>
      <c r="O71" s="37">
        <f>'5 Afvanding'!N43</f>
        <v>0</v>
      </c>
      <c r="P71" s="37">
        <f>'5 Afvanding'!O43</f>
        <v>0</v>
      </c>
      <c r="Q71" s="37">
        <f>'5 Afvanding'!P43</f>
        <v>0</v>
      </c>
      <c r="R71" s="37">
        <f>'5 Afvanding'!Q43</f>
        <v>0</v>
      </c>
      <c r="S71" s="37">
        <f>'5 Afvanding'!R43</f>
        <v>0</v>
      </c>
      <c r="T71" s="39">
        <f>'5 Afvanding'!S43</f>
        <v>0</v>
      </c>
      <c r="U71" s="40">
        <f>'5 Afvanding'!T43</f>
        <v>0</v>
      </c>
      <c r="V71" s="37" t="s">
        <v>98</v>
      </c>
      <c r="W71" s="37" t="s">
        <v>62</v>
      </c>
      <c r="X71" s="37" t="s">
        <v>98</v>
      </c>
    </row>
    <row r="72" spans="1:24" s="37" customFormat="1" x14ac:dyDescent="0.25">
      <c r="A72" s="37">
        <v>6</v>
      </c>
      <c r="B72" s="37" t="s">
        <v>235</v>
      </c>
      <c r="C72" s="37" t="s">
        <v>236</v>
      </c>
      <c r="D72" s="38" t="str">
        <f>'5 Afvanding'!C44</f>
        <v>STK</v>
      </c>
      <c r="E72" s="37">
        <f>'5 Afvanding'!D44</f>
        <v>0</v>
      </c>
      <c r="F72" s="37">
        <f>'5 Afvanding'!E44</f>
        <v>0</v>
      </c>
      <c r="G72" s="37">
        <f>'5 Afvanding'!F44</f>
        <v>0</v>
      </c>
      <c r="H72" s="37">
        <f>'5 Afvanding'!G44</f>
        <v>0</v>
      </c>
      <c r="I72" s="37">
        <f>'5 Afvanding'!H44</f>
        <v>0</v>
      </c>
      <c r="J72" s="37">
        <f>'5 Afvanding'!I44</f>
        <v>4</v>
      </c>
      <c r="K72" s="37">
        <f>'5 Afvanding'!J44</f>
        <v>0</v>
      </c>
      <c r="L72" s="37">
        <f>'5 Afvanding'!K44</f>
        <v>0</v>
      </c>
      <c r="M72" s="37">
        <f>'5 Afvanding'!L44</f>
        <v>0</v>
      </c>
      <c r="N72" s="37">
        <f>'5 Afvanding'!M44</f>
        <v>0</v>
      </c>
      <c r="O72" s="37">
        <f>'5 Afvanding'!N44</f>
        <v>0</v>
      </c>
      <c r="P72" s="37">
        <f>'5 Afvanding'!O44</f>
        <v>0</v>
      </c>
      <c r="Q72" s="37">
        <f>'5 Afvanding'!P44</f>
        <v>0</v>
      </c>
      <c r="R72" s="37">
        <f>'5 Afvanding'!Q44</f>
        <v>0</v>
      </c>
      <c r="S72" s="37">
        <f>'5 Afvanding'!R44</f>
        <v>4</v>
      </c>
      <c r="T72" s="39">
        <f>'5 Afvanding'!S44</f>
        <v>19689</v>
      </c>
      <c r="U72" s="40">
        <f>'5 Afvanding'!T44</f>
        <v>78756</v>
      </c>
      <c r="V72" s="37" t="s">
        <v>98</v>
      </c>
      <c r="W72" s="37" t="s">
        <v>822</v>
      </c>
      <c r="X72" s="37" t="s">
        <v>98</v>
      </c>
    </row>
    <row r="73" spans="1:24" s="37" customFormat="1" x14ac:dyDescent="0.25">
      <c r="A73" s="37">
        <v>6</v>
      </c>
      <c r="B73" s="37" t="s">
        <v>237</v>
      </c>
      <c r="C73" s="37" t="s">
        <v>238</v>
      </c>
      <c r="D73" s="38" t="str">
        <f>'5 Afvanding'!C45</f>
        <v>STK</v>
      </c>
      <c r="E73" s="37">
        <f>'5 Afvanding'!D45</f>
        <v>0</v>
      </c>
      <c r="F73" s="37">
        <f>'5 Afvanding'!E45</f>
        <v>0</v>
      </c>
      <c r="G73" s="37">
        <f>'5 Afvanding'!F45</f>
        <v>0</v>
      </c>
      <c r="H73" s="37">
        <f>'5 Afvanding'!G45</f>
        <v>0</v>
      </c>
      <c r="I73" s="37">
        <f>'5 Afvanding'!H45</f>
        <v>0</v>
      </c>
      <c r="J73" s="37">
        <f>'5 Afvanding'!I45</f>
        <v>14</v>
      </c>
      <c r="K73" s="37">
        <f>'5 Afvanding'!J45</f>
        <v>0</v>
      </c>
      <c r="L73" s="37">
        <f>'5 Afvanding'!K45</f>
        <v>0</v>
      </c>
      <c r="M73" s="37">
        <f>'5 Afvanding'!L45</f>
        <v>0</v>
      </c>
      <c r="N73" s="37">
        <f>'5 Afvanding'!M45</f>
        <v>0</v>
      </c>
      <c r="O73" s="37">
        <f>'5 Afvanding'!N45</f>
        <v>0</v>
      </c>
      <c r="P73" s="37">
        <f>'5 Afvanding'!O45</f>
        <v>0</v>
      </c>
      <c r="Q73" s="37">
        <f>'5 Afvanding'!P45</f>
        <v>0</v>
      </c>
      <c r="R73" s="37">
        <f>'5 Afvanding'!Q45</f>
        <v>0</v>
      </c>
      <c r="S73" s="37">
        <f>'5 Afvanding'!R45</f>
        <v>14</v>
      </c>
      <c r="T73" s="39">
        <f>'5 Afvanding'!S45</f>
        <v>8760</v>
      </c>
      <c r="U73" s="40">
        <f>'5 Afvanding'!T45</f>
        <v>122640</v>
      </c>
      <c r="V73" s="37" t="s">
        <v>98</v>
      </c>
      <c r="W73" s="37" t="s">
        <v>822</v>
      </c>
      <c r="X73" s="37" t="s">
        <v>98</v>
      </c>
    </row>
    <row r="74" spans="1:24" s="37" customFormat="1" x14ac:dyDescent="0.25">
      <c r="A74" s="37">
        <v>5</v>
      </c>
      <c r="B74" s="37" t="s">
        <v>239</v>
      </c>
      <c r="C74" s="37" t="s">
        <v>240</v>
      </c>
      <c r="D74" s="38" t="str">
        <f>'5 Afvanding'!C46</f>
        <v/>
      </c>
      <c r="E74" s="37">
        <f>'5 Afvanding'!D46</f>
        <v>0</v>
      </c>
      <c r="F74" s="37">
        <f>'5 Afvanding'!E46</f>
        <v>0</v>
      </c>
      <c r="G74" s="37">
        <f>'5 Afvanding'!F46</f>
        <v>0</v>
      </c>
      <c r="H74" s="37">
        <f>'5 Afvanding'!G46</f>
        <v>0</v>
      </c>
      <c r="I74" s="37">
        <f>'5 Afvanding'!H46</f>
        <v>0</v>
      </c>
      <c r="J74" s="37">
        <f>'5 Afvanding'!I46</f>
        <v>0</v>
      </c>
      <c r="K74" s="37">
        <f>'5 Afvanding'!J46</f>
        <v>0</v>
      </c>
      <c r="L74" s="37">
        <f>'5 Afvanding'!K46</f>
        <v>0</v>
      </c>
      <c r="M74" s="37">
        <f>'5 Afvanding'!L46</f>
        <v>0</v>
      </c>
      <c r="N74" s="37">
        <f>'5 Afvanding'!M46</f>
        <v>0</v>
      </c>
      <c r="O74" s="37">
        <f>'5 Afvanding'!N46</f>
        <v>0</v>
      </c>
      <c r="P74" s="37">
        <f>'5 Afvanding'!O46</f>
        <v>0</v>
      </c>
      <c r="Q74" s="37">
        <f>'5 Afvanding'!P46</f>
        <v>0</v>
      </c>
      <c r="R74" s="37">
        <f>'5 Afvanding'!Q46</f>
        <v>0</v>
      </c>
      <c r="S74" s="37">
        <f>'5 Afvanding'!R46</f>
        <v>0</v>
      </c>
      <c r="T74" s="39">
        <f>'5 Afvanding'!S46</f>
        <v>0</v>
      </c>
      <c r="U74" s="40">
        <f>'5 Afvanding'!T46</f>
        <v>0</v>
      </c>
      <c r="V74" s="37" t="s">
        <v>98</v>
      </c>
      <c r="W74" s="37" t="s">
        <v>98</v>
      </c>
      <c r="X74" s="37" t="s">
        <v>98</v>
      </c>
    </row>
    <row r="75" spans="1:24" s="37" customFormat="1" x14ac:dyDescent="0.25">
      <c r="A75" s="37">
        <v>6</v>
      </c>
      <c r="B75" s="37" t="s">
        <v>241</v>
      </c>
      <c r="C75" s="37" t="s">
        <v>242</v>
      </c>
      <c r="D75" s="38" t="str">
        <f>'5 Afvanding'!C47</f>
        <v>M</v>
      </c>
      <c r="E75" s="37">
        <f>'5 Afvanding'!D47</f>
        <v>0</v>
      </c>
      <c r="F75" s="37">
        <f>'5 Afvanding'!E47</f>
        <v>213</v>
      </c>
      <c r="G75" s="37">
        <f>'5 Afvanding'!F47</f>
        <v>0</v>
      </c>
      <c r="H75" s="37">
        <f>'5 Afvanding'!G47</f>
        <v>28</v>
      </c>
      <c r="I75" s="37">
        <f>'5 Afvanding'!H47</f>
        <v>25</v>
      </c>
      <c r="J75" s="37">
        <f>'5 Afvanding'!I47</f>
        <v>9325</v>
      </c>
      <c r="K75" s="37">
        <f>'5 Afvanding'!J47</f>
        <v>0</v>
      </c>
      <c r="L75" s="37">
        <f>'5 Afvanding'!K47</f>
        <v>0</v>
      </c>
      <c r="M75" s="37">
        <f>'5 Afvanding'!L47</f>
        <v>0</v>
      </c>
      <c r="N75" s="37">
        <f>'5 Afvanding'!M47</f>
        <v>0</v>
      </c>
      <c r="O75" s="37">
        <f>'5 Afvanding'!N47</f>
        <v>0</v>
      </c>
      <c r="P75" s="37">
        <f>'5 Afvanding'!O47</f>
        <v>0</v>
      </c>
      <c r="Q75" s="37">
        <f>'5 Afvanding'!P47</f>
        <v>0</v>
      </c>
      <c r="R75" s="37">
        <f>'5 Afvanding'!Q47</f>
        <v>0</v>
      </c>
      <c r="S75" s="37">
        <f>'5 Afvanding'!R47</f>
        <v>9591</v>
      </c>
      <c r="T75" s="39">
        <f>'5 Afvanding'!S47</f>
        <v>10</v>
      </c>
      <c r="U75" s="40">
        <f>'5 Afvanding'!T47</f>
        <v>95910</v>
      </c>
      <c r="V75" s="37" t="s">
        <v>98</v>
      </c>
      <c r="W75" s="37" t="s">
        <v>98</v>
      </c>
      <c r="X75" s="37" t="s">
        <v>98</v>
      </c>
    </row>
    <row r="76" spans="1:24" s="37" customFormat="1" x14ac:dyDescent="0.25">
      <c r="A76" s="37">
        <v>6</v>
      </c>
      <c r="B76" s="37" t="s">
        <v>243</v>
      </c>
      <c r="C76" s="37" t="s">
        <v>244</v>
      </c>
      <c r="D76" s="38" t="str">
        <f>'5 Afvanding'!C48</f>
        <v>M</v>
      </c>
      <c r="E76" s="37">
        <f>'5 Afvanding'!D48</f>
        <v>0</v>
      </c>
      <c r="F76" s="37">
        <f>'5 Afvanding'!E48</f>
        <v>190</v>
      </c>
      <c r="G76" s="37">
        <f>'5 Afvanding'!F48</f>
        <v>0</v>
      </c>
      <c r="H76" s="37">
        <f>'5 Afvanding'!G48</f>
        <v>31</v>
      </c>
      <c r="I76" s="37">
        <f>'5 Afvanding'!H48</f>
        <v>0</v>
      </c>
      <c r="J76" s="37">
        <f>'5 Afvanding'!I48</f>
        <v>0</v>
      </c>
      <c r="K76" s="37">
        <f>'5 Afvanding'!J48</f>
        <v>0</v>
      </c>
      <c r="L76" s="37">
        <f>'5 Afvanding'!K48</f>
        <v>0</v>
      </c>
      <c r="M76" s="37">
        <f>'5 Afvanding'!L48</f>
        <v>0</v>
      </c>
      <c r="N76" s="37">
        <f>'5 Afvanding'!M48</f>
        <v>0</v>
      </c>
      <c r="O76" s="37">
        <f>'5 Afvanding'!N48</f>
        <v>0</v>
      </c>
      <c r="P76" s="37">
        <f>'5 Afvanding'!O48</f>
        <v>0</v>
      </c>
      <c r="Q76" s="37">
        <f>'5 Afvanding'!P48</f>
        <v>0</v>
      </c>
      <c r="R76" s="37">
        <f>'5 Afvanding'!Q48</f>
        <v>0</v>
      </c>
      <c r="S76" s="37">
        <f>'5 Afvanding'!R48</f>
        <v>221</v>
      </c>
      <c r="T76" s="39">
        <f>'5 Afvanding'!S48</f>
        <v>14</v>
      </c>
      <c r="U76" s="40">
        <f>'5 Afvanding'!T48</f>
        <v>3094</v>
      </c>
      <c r="V76" s="37" t="s">
        <v>98</v>
      </c>
      <c r="W76" s="37" t="s">
        <v>98</v>
      </c>
      <c r="X76" s="37" t="s">
        <v>98</v>
      </c>
    </row>
    <row r="77" spans="1:24" s="37" customFormat="1" x14ac:dyDescent="0.25">
      <c r="A77" s="37">
        <v>6</v>
      </c>
      <c r="B77" s="37" t="s">
        <v>245</v>
      </c>
      <c r="C77" s="37" t="s">
        <v>246</v>
      </c>
      <c r="D77" s="38" t="str">
        <f>'5 Afvanding'!C49</f>
        <v>STK</v>
      </c>
      <c r="E77" s="37">
        <f>'5 Afvanding'!D49</f>
        <v>0</v>
      </c>
      <c r="F77" s="37">
        <f>'5 Afvanding'!E49</f>
        <v>0</v>
      </c>
      <c r="G77" s="37">
        <f>'5 Afvanding'!F49</f>
        <v>0</v>
      </c>
      <c r="H77" s="37">
        <f>'5 Afvanding'!G49</f>
        <v>0</v>
      </c>
      <c r="I77" s="37">
        <f>'5 Afvanding'!H49</f>
        <v>0</v>
      </c>
      <c r="J77" s="37">
        <f>'5 Afvanding'!I49</f>
        <v>263</v>
      </c>
      <c r="K77" s="37">
        <f>'5 Afvanding'!J49</f>
        <v>0</v>
      </c>
      <c r="L77" s="37">
        <f>'5 Afvanding'!K49</f>
        <v>0</v>
      </c>
      <c r="M77" s="37">
        <f>'5 Afvanding'!L49</f>
        <v>0</v>
      </c>
      <c r="N77" s="37">
        <f>'5 Afvanding'!M49</f>
        <v>0</v>
      </c>
      <c r="O77" s="37">
        <f>'5 Afvanding'!N49</f>
        <v>0</v>
      </c>
      <c r="P77" s="37">
        <f>'5 Afvanding'!O49</f>
        <v>0</v>
      </c>
      <c r="Q77" s="37">
        <f>'5 Afvanding'!P49</f>
        <v>0</v>
      </c>
      <c r="R77" s="37">
        <f>'5 Afvanding'!Q49</f>
        <v>0</v>
      </c>
      <c r="S77" s="37">
        <f>'5 Afvanding'!R49</f>
        <v>263</v>
      </c>
      <c r="T77" s="39">
        <f>'5 Afvanding'!S49</f>
        <v>638</v>
      </c>
      <c r="U77" s="40">
        <f>'5 Afvanding'!T49</f>
        <v>167794</v>
      </c>
      <c r="V77" s="37" t="s">
        <v>98</v>
      </c>
      <c r="W77" s="37" t="s">
        <v>98</v>
      </c>
      <c r="X77" s="37" t="s">
        <v>98</v>
      </c>
    </row>
    <row r="78" spans="1:24" s="37" customFormat="1" x14ac:dyDescent="0.25">
      <c r="A78" s="37">
        <v>5</v>
      </c>
      <c r="B78" s="37" t="s">
        <v>247</v>
      </c>
      <c r="C78" s="37" t="s">
        <v>248</v>
      </c>
      <c r="D78" s="38" t="str">
        <f>'5 Afvanding'!C50</f>
        <v>M</v>
      </c>
      <c r="E78" s="37">
        <f>'5 Afvanding'!D50</f>
        <v>0</v>
      </c>
      <c r="F78" s="37">
        <f>'5 Afvanding'!E50</f>
        <v>0</v>
      </c>
      <c r="G78" s="37">
        <f>'5 Afvanding'!F50</f>
        <v>0</v>
      </c>
      <c r="H78" s="37">
        <f>'5 Afvanding'!G50</f>
        <v>0</v>
      </c>
      <c r="I78" s="37">
        <f>'5 Afvanding'!H50</f>
        <v>0</v>
      </c>
      <c r="J78" s="37">
        <f>'5 Afvanding'!I50</f>
        <v>0</v>
      </c>
      <c r="K78" s="37">
        <f>'5 Afvanding'!J50</f>
        <v>0</v>
      </c>
      <c r="L78" s="37">
        <f>'5 Afvanding'!K50</f>
        <v>0</v>
      </c>
      <c r="M78" s="37">
        <f>'5 Afvanding'!L50</f>
        <v>0</v>
      </c>
      <c r="N78" s="37">
        <f>'5 Afvanding'!M50</f>
        <v>0</v>
      </c>
      <c r="O78" s="37">
        <f>'5 Afvanding'!N50</f>
        <v>0</v>
      </c>
      <c r="P78" s="37">
        <f>'5 Afvanding'!O50</f>
        <v>0</v>
      </c>
      <c r="Q78" s="37">
        <f>'5 Afvanding'!P50</f>
        <v>0</v>
      </c>
      <c r="R78" s="37">
        <f>'5 Afvanding'!Q50</f>
        <v>0</v>
      </c>
      <c r="S78" s="37">
        <f>'5 Afvanding'!R50</f>
        <v>0</v>
      </c>
      <c r="T78" s="39">
        <f>'5 Afvanding'!S50</f>
        <v>0</v>
      </c>
      <c r="U78" s="40">
        <f>'5 Afvanding'!T50</f>
        <v>0</v>
      </c>
      <c r="V78" s="37" t="s">
        <v>98</v>
      </c>
      <c r="W78" s="37" t="s">
        <v>98</v>
      </c>
      <c r="X78" s="37" t="s">
        <v>98</v>
      </c>
    </row>
    <row r="79" spans="1:24" s="37" customFormat="1" x14ac:dyDescent="0.25">
      <c r="A79" s="37">
        <v>6</v>
      </c>
      <c r="B79" s="37" t="s">
        <v>249</v>
      </c>
      <c r="C79" s="37" t="s">
        <v>250</v>
      </c>
      <c r="D79" s="38" t="str">
        <f>'5 Afvanding'!C51</f>
        <v>M</v>
      </c>
      <c r="E79" s="37">
        <f>'5 Afvanding'!D51</f>
        <v>27</v>
      </c>
      <c r="F79" s="37">
        <f>'5 Afvanding'!E51</f>
        <v>213</v>
      </c>
      <c r="G79" s="37">
        <f>'5 Afvanding'!F51</f>
        <v>0</v>
      </c>
      <c r="H79" s="37">
        <f>'5 Afvanding'!G51</f>
        <v>29</v>
      </c>
      <c r="I79" s="37">
        <f>'5 Afvanding'!H51</f>
        <v>25</v>
      </c>
      <c r="J79" s="37">
        <f>'5 Afvanding'!I51</f>
        <v>8930</v>
      </c>
      <c r="K79" s="37">
        <f>'5 Afvanding'!J51</f>
        <v>0</v>
      </c>
      <c r="L79" s="37">
        <f>'5 Afvanding'!K51</f>
        <v>0</v>
      </c>
      <c r="M79" s="37">
        <f>'5 Afvanding'!L51</f>
        <v>0</v>
      </c>
      <c r="N79" s="37">
        <f>'5 Afvanding'!M51</f>
        <v>0</v>
      </c>
      <c r="O79" s="37">
        <f>'5 Afvanding'!N51</f>
        <v>0</v>
      </c>
      <c r="P79" s="37">
        <f>'5 Afvanding'!O51</f>
        <v>0</v>
      </c>
      <c r="Q79" s="37">
        <f>'5 Afvanding'!P51</f>
        <v>0</v>
      </c>
      <c r="R79" s="37">
        <f>'5 Afvanding'!Q51</f>
        <v>0</v>
      </c>
      <c r="S79" s="37">
        <f>'5 Afvanding'!R51</f>
        <v>9224</v>
      </c>
      <c r="T79" s="39">
        <f>'5 Afvanding'!S51</f>
        <v>268</v>
      </c>
      <c r="U79" s="40">
        <f>'5 Afvanding'!T51</f>
        <v>2472032</v>
      </c>
      <c r="V79" s="37" t="s">
        <v>98</v>
      </c>
      <c r="W79" s="37" t="s">
        <v>98</v>
      </c>
      <c r="X79" s="37" t="s">
        <v>98</v>
      </c>
    </row>
    <row r="80" spans="1:24" s="36" customFormat="1" x14ac:dyDescent="0.25">
      <c r="A80" s="28">
        <v>4</v>
      </c>
      <c r="B80" s="28" t="s">
        <v>251</v>
      </c>
      <c r="C80" s="28" t="s">
        <v>252</v>
      </c>
      <c r="D80" s="50" t="str">
        <f>'5 Afvanding'!C52</f>
        <v/>
      </c>
      <c r="E80" s="28">
        <f>'5 Afvanding'!D52</f>
        <v>0</v>
      </c>
      <c r="F80" s="28">
        <f>'5 Afvanding'!E52</f>
        <v>0</v>
      </c>
      <c r="G80" s="28">
        <f>'5 Afvanding'!F52</f>
        <v>0</v>
      </c>
      <c r="H80" s="28">
        <f>'5 Afvanding'!G52</f>
        <v>0</v>
      </c>
      <c r="I80" s="28">
        <f>'5 Afvanding'!H52</f>
        <v>0</v>
      </c>
      <c r="J80" s="28">
        <f>'5 Afvanding'!I52</f>
        <v>0</v>
      </c>
      <c r="K80" s="28">
        <f>'5 Afvanding'!J52</f>
        <v>0</v>
      </c>
      <c r="L80" s="28">
        <f>'5 Afvanding'!K52</f>
        <v>0</v>
      </c>
      <c r="M80" s="28">
        <f>'5 Afvanding'!L52</f>
        <v>0</v>
      </c>
      <c r="N80" s="28">
        <f>'5 Afvanding'!M52</f>
        <v>0</v>
      </c>
      <c r="O80" s="28">
        <f>'5 Afvanding'!N52</f>
        <v>0</v>
      </c>
      <c r="P80" s="28">
        <f>'5 Afvanding'!O52</f>
        <v>0</v>
      </c>
      <c r="Q80" s="28">
        <f>'5 Afvanding'!P52</f>
        <v>0</v>
      </c>
      <c r="R80" s="28">
        <f>'5 Afvanding'!Q52</f>
        <v>0</v>
      </c>
      <c r="S80" s="28">
        <f>'5 Afvanding'!R52</f>
        <v>0</v>
      </c>
      <c r="T80" s="51">
        <f>'5 Afvanding'!S52</f>
        <v>0</v>
      </c>
      <c r="U80" s="52">
        <f>'5 Afvanding'!T52</f>
        <v>0</v>
      </c>
      <c r="V80" s="28" t="s">
        <v>98</v>
      </c>
      <c r="W80" s="28" t="s">
        <v>98</v>
      </c>
      <c r="X80" s="28" t="s">
        <v>98</v>
      </c>
    </row>
    <row r="81" spans="1:24" s="37" customFormat="1" x14ac:dyDescent="0.25">
      <c r="A81" s="37">
        <v>5</v>
      </c>
      <c r="B81" s="37" t="s">
        <v>253</v>
      </c>
      <c r="C81" s="37" t="s">
        <v>254</v>
      </c>
      <c r="D81" s="38" t="str">
        <f>'5 Afvanding'!C53</f>
        <v>SUM</v>
      </c>
      <c r="E81" s="37">
        <f>'5 Afvanding'!D53</f>
        <v>0</v>
      </c>
      <c r="F81" s="37">
        <f>'5 Afvanding'!E53</f>
        <v>0</v>
      </c>
      <c r="G81" s="37">
        <f>'5 Afvanding'!F53</f>
        <v>0</v>
      </c>
      <c r="H81" s="37">
        <f>'5 Afvanding'!G53</f>
        <v>0</v>
      </c>
      <c r="I81" s="37">
        <f>'5 Afvanding'!H53</f>
        <v>0</v>
      </c>
      <c r="J81" s="37">
        <f>'5 Afvanding'!I53</f>
        <v>0</v>
      </c>
      <c r="K81" s="37">
        <f>'5 Afvanding'!J53</f>
        <v>0</v>
      </c>
      <c r="L81" s="37">
        <f>'5 Afvanding'!K53</f>
        <v>0</v>
      </c>
      <c r="M81" s="37">
        <f>'5 Afvanding'!L53</f>
        <v>0</v>
      </c>
      <c r="N81" s="37">
        <f>'5 Afvanding'!M53</f>
        <v>0</v>
      </c>
      <c r="O81" s="37">
        <f>'5 Afvanding'!N53</f>
        <v>0</v>
      </c>
      <c r="P81" s="37">
        <f>'5 Afvanding'!O53</f>
        <v>0</v>
      </c>
      <c r="Q81" s="37">
        <f>'5 Afvanding'!P53</f>
        <v>0</v>
      </c>
      <c r="R81" s="37">
        <f>'5 Afvanding'!Q53</f>
        <v>0</v>
      </c>
      <c r="S81" s="37">
        <f>'5 Afvanding'!R53</f>
        <v>0</v>
      </c>
      <c r="T81" s="39">
        <f>'5 Afvanding'!S53</f>
        <v>0</v>
      </c>
      <c r="U81" s="40">
        <f>'5 Afvanding'!T53</f>
        <v>0</v>
      </c>
      <c r="V81" s="37" t="s">
        <v>98</v>
      </c>
      <c r="W81" s="37" t="s">
        <v>98</v>
      </c>
      <c r="X81" s="37" t="s">
        <v>98</v>
      </c>
    </row>
    <row r="82" spans="1:24" s="37" customFormat="1" x14ac:dyDescent="0.25">
      <c r="A82" s="37">
        <v>6</v>
      </c>
      <c r="B82" s="37" t="s">
        <v>256</v>
      </c>
      <c r="C82" s="37" t="s">
        <v>257</v>
      </c>
      <c r="D82" s="38" t="str">
        <f>'5 Afvanding'!C54</f>
        <v>SUM</v>
      </c>
      <c r="E82" s="37">
        <f>'5 Afvanding'!D54</f>
        <v>0</v>
      </c>
      <c r="F82" s="37">
        <f>'5 Afvanding'!E54</f>
        <v>0</v>
      </c>
      <c r="G82" s="37">
        <f>'5 Afvanding'!F54</f>
        <v>0</v>
      </c>
      <c r="H82" s="37">
        <f>'5 Afvanding'!G54</f>
        <v>0</v>
      </c>
      <c r="I82" s="37">
        <f>'5 Afvanding'!H54</f>
        <v>0</v>
      </c>
      <c r="J82" s="37">
        <f>'5 Afvanding'!I54</f>
        <v>1</v>
      </c>
      <c r="K82" s="37">
        <f>'5 Afvanding'!J54</f>
        <v>0</v>
      </c>
      <c r="L82" s="37">
        <f>'5 Afvanding'!K54</f>
        <v>0</v>
      </c>
      <c r="M82" s="37">
        <f>'5 Afvanding'!L54</f>
        <v>0</v>
      </c>
      <c r="N82" s="37">
        <f>'5 Afvanding'!M54</f>
        <v>0</v>
      </c>
      <c r="O82" s="37">
        <f>'5 Afvanding'!N54</f>
        <v>0</v>
      </c>
      <c r="P82" s="37">
        <f>'5 Afvanding'!O54</f>
        <v>0</v>
      </c>
      <c r="Q82" s="37">
        <f>'5 Afvanding'!P54</f>
        <v>0</v>
      </c>
      <c r="R82" s="37">
        <f>'5 Afvanding'!Q54</f>
        <v>0</v>
      </c>
      <c r="S82" s="37">
        <f>'5 Afvanding'!R54</f>
        <v>1</v>
      </c>
      <c r="T82" s="39">
        <f>'5 Afvanding'!S54</f>
        <v>27322</v>
      </c>
      <c r="U82" s="40">
        <f>'5 Afvanding'!T54</f>
        <v>27322</v>
      </c>
      <c r="V82" s="37" t="s">
        <v>98</v>
      </c>
      <c r="W82" s="37" t="s">
        <v>98</v>
      </c>
      <c r="X82" s="37" t="s">
        <v>98</v>
      </c>
    </row>
    <row r="83" spans="1:24" s="37" customFormat="1" x14ac:dyDescent="0.25">
      <c r="A83" s="37">
        <v>6</v>
      </c>
      <c r="B83" s="37" t="s">
        <v>258</v>
      </c>
      <c r="C83" s="37" t="s">
        <v>259</v>
      </c>
      <c r="D83" s="38" t="str">
        <f>'5 Afvanding'!C55</f>
        <v>SUM</v>
      </c>
      <c r="E83" s="37">
        <f>'5 Afvanding'!D55</f>
        <v>1</v>
      </c>
      <c r="F83" s="37">
        <f>'5 Afvanding'!E55</f>
        <v>0</v>
      </c>
      <c r="G83" s="37">
        <f>'5 Afvanding'!F55</f>
        <v>0</v>
      </c>
      <c r="H83" s="37">
        <f>'5 Afvanding'!G55</f>
        <v>0</v>
      </c>
      <c r="I83" s="37">
        <f>'5 Afvanding'!H55</f>
        <v>0</v>
      </c>
      <c r="J83" s="37">
        <f>'5 Afvanding'!I55</f>
        <v>0</v>
      </c>
      <c r="K83" s="37">
        <f>'5 Afvanding'!J55</f>
        <v>0</v>
      </c>
      <c r="L83" s="37">
        <f>'5 Afvanding'!K55</f>
        <v>0</v>
      </c>
      <c r="M83" s="37">
        <f>'5 Afvanding'!L55</f>
        <v>0</v>
      </c>
      <c r="N83" s="37">
        <f>'5 Afvanding'!M55</f>
        <v>0</v>
      </c>
      <c r="O83" s="37">
        <f>'5 Afvanding'!N55</f>
        <v>0</v>
      </c>
      <c r="P83" s="37">
        <f>'5 Afvanding'!O55</f>
        <v>0</v>
      </c>
      <c r="Q83" s="37">
        <f>'5 Afvanding'!P55</f>
        <v>0</v>
      </c>
      <c r="R83" s="37">
        <f>'5 Afvanding'!Q55</f>
        <v>0</v>
      </c>
      <c r="S83" s="37">
        <f>'5 Afvanding'!R55</f>
        <v>1</v>
      </c>
      <c r="T83" s="39">
        <f>'5 Afvanding'!S55</f>
        <v>9639</v>
      </c>
      <c r="U83" s="40">
        <f>'5 Afvanding'!T55</f>
        <v>9639</v>
      </c>
      <c r="V83" s="37" t="s">
        <v>98</v>
      </c>
      <c r="W83" s="37" t="s">
        <v>98</v>
      </c>
      <c r="X83" s="37" t="s">
        <v>98</v>
      </c>
    </row>
    <row r="84" spans="1:24" s="37" customFormat="1" x14ac:dyDescent="0.25">
      <c r="A84" s="37">
        <v>6</v>
      </c>
      <c r="B84" s="37" t="s">
        <v>260</v>
      </c>
      <c r="C84" s="37" t="s">
        <v>261</v>
      </c>
      <c r="D84" s="38" t="str">
        <f>'5 Afvanding'!C56</f>
        <v>M</v>
      </c>
      <c r="E84" s="37">
        <f>'5 Afvanding'!D56</f>
        <v>0</v>
      </c>
      <c r="F84" s="37">
        <f>'5 Afvanding'!E56</f>
        <v>0</v>
      </c>
      <c r="G84" s="37">
        <f>'5 Afvanding'!F56</f>
        <v>0</v>
      </c>
      <c r="H84" s="37">
        <f>'5 Afvanding'!G56</f>
        <v>0</v>
      </c>
      <c r="I84" s="37">
        <f>'5 Afvanding'!H56</f>
        <v>0</v>
      </c>
      <c r="J84" s="37">
        <f>'5 Afvanding'!I56</f>
        <v>1</v>
      </c>
      <c r="K84" s="37">
        <f>'5 Afvanding'!J56</f>
        <v>0</v>
      </c>
      <c r="L84" s="37">
        <f>'5 Afvanding'!K56</f>
        <v>0</v>
      </c>
      <c r="M84" s="37">
        <f>'5 Afvanding'!L56</f>
        <v>0</v>
      </c>
      <c r="N84" s="37">
        <f>'5 Afvanding'!M56</f>
        <v>0</v>
      </c>
      <c r="O84" s="37">
        <f>'5 Afvanding'!N56</f>
        <v>0</v>
      </c>
      <c r="P84" s="37">
        <f>'5 Afvanding'!O56</f>
        <v>0</v>
      </c>
      <c r="Q84" s="37">
        <f>'5 Afvanding'!P56</f>
        <v>0</v>
      </c>
      <c r="R84" s="37">
        <f>'5 Afvanding'!Q56</f>
        <v>0</v>
      </c>
      <c r="S84" s="37">
        <f>'5 Afvanding'!R56</f>
        <v>1</v>
      </c>
      <c r="T84" s="39">
        <f>'5 Afvanding'!S56</f>
        <v>5444</v>
      </c>
      <c r="U84" s="40">
        <f>'5 Afvanding'!T56</f>
        <v>5444</v>
      </c>
      <c r="V84" s="37" t="s">
        <v>98</v>
      </c>
      <c r="W84" s="37" t="s">
        <v>98</v>
      </c>
      <c r="X84" s="37" t="s">
        <v>98</v>
      </c>
    </row>
    <row r="85" spans="1:24" s="37" customFormat="1" x14ac:dyDescent="0.25">
      <c r="A85" s="37">
        <v>5</v>
      </c>
      <c r="B85" s="37" t="s">
        <v>262</v>
      </c>
      <c r="C85" s="37" t="s">
        <v>263</v>
      </c>
      <c r="D85" s="38" t="str">
        <f>'5 Afvanding'!C57</f>
        <v>SUM</v>
      </c>
      <c r="E85" s="37">
        <f>'5 Afvanding'!D57</f>
        <v>1</v>
      </c>
      <c r="F85" s="37">
        <f>'5 Afvanding'!E57</f>
        <v>0</v>
      </c>
      <c r="G85" s="37">
        <f>'5 Afvanding'!F57</f>
        <v>0</v>
      </c>
      <c r="H85" s="37">
        <f>'5 Afvanding'!G57</f>
        <v>0</v>
      </c>
      <c r="I85" s="37">
        <f>'5 Afvanding'!H57</f>
        <v>0</v>
      </c>
      <c r="J85" s="37">
        <f>'5 Afvanding'!I57</f>
        <v>0</v>
      </c>
      <c r="K85" s="37">
        <f>'5 Afvanding'!J57</f>
        <v>0</v>
      </c>
      <c r="L85" s="37">
        <f>'5 Afvanding'!K57</f>
        <v>0</v>
      </c>
      <c r="M85" s="37">
        <f>'5 Afvanding'!L57</f>
        <v>0</v>
      </c>
      <c r="N85" s="37">
        <f>'5 Afvanding'!M57</f>
        <v>0</v>
      </c>
      <c r="O85" s="37">
        <f>'5 Afvanding'!N57</f>
        <v>0</v>
      </c>
      <c r="P85" s="37">
        <f>'5 Afvanding'!O57</f>
        <v>0</v>
      </c>
      <c r="Q85" s="37">
        <f>'5 Afvanding'!P57</f>
        <v>0</v>
      </c>
      <c r="R85" s="37">
        <f>'5 Afvanding'!Q57</f>
        <v>0</v>
      </c>
      <c r="S85" s="37">
        <f>'5 Afvanding'!R57</f>
        <v>1</v>
      </c>
      <c r="T85" s="39">
        <f>'5 Afvanding'!S57</f>
        <v>543710</v>
      </c>
      <c r="U85" s="40">
        <f>'5 Afvanding'!T57</f>
        <v>543710</v>
      </c>
      <c r="V85" s="37" t="s">
        <v>98</v>
      </c>
      <c r="W85" s="37" t="s">
        <v>98</v>
      </c>
      <c r="X85" s="37" t="s">
        <v>98</v>
      </c>
    </row>
    <row r="86" spans="1:24" s="37" customFormat="1" x14ac:dyDescent="0.25">
      <c r="A86" s="37">
        <v>5</v>
      </c>
      <c r="B86" s="37" t="s">
        <v>264</v>
      </c>
      <c r="C86" s="37" t="s">
        <v>265</v>
      </c>
      <c r="D86" s="38" t="str">
        <f>'5 Afvanding'!C58</f>
        <v>SUM</v>
      </c>
      <c r="E86" s="37">
        <f>'5 Afvanding'!D58</f>
        <v>0</v>
      </c>
      <c r="F86" s="37">
        <f>'5 Afvanding'!E58</f>
        <v>0</v>
      </c>
      <c r="G86" s="37">
        <f>'5 Afvanding'!F58</f>
        <v>0</v>
      </c>
      <c r="H86" s="37">
        <f>'5 Afvanding'!G58</f>
        <v>0</v>
      </c>
      <c r="I86" s="37">
        <f>'5 Afvanding'!H58</f>
        <v>0</v>
      </c>
      <c r="J86" s="37">
        <f>'5 Afvanding'!I58</f>
        <v>0</v>
      </c>
      <c r="K86" s="37">
        <f>'5 Afvanding'!J58</f>
        <v>0</v>
      </c>
      <c r="L86" s="37">
        <f>'5 Afvanding'!K58</f>
        <v>0</v>
      </c>
      <c r="M86" s="37">
        <f>'5 Afvanding'!L58</f>
        <v>0</v>
      </c>
      <c r="N86" s="37">
        <f>'5 Afvanding'!M58</f>
        <v>0</v>
      </c>
      <c r="O86" s="37">
        <f>'5 Afvanding'!N58</f>
        <v>0</v>
      </c>
      <c r="P86" s="37">
        <f>'5 Afvanding'!O58</f>
        <v>0</v>
      </c>
      <c r="Q86" s="37">
        <f>'5 Afvanding'!P58</f>
        <v>0</v>
      </c>
      <c r="R86" s="37">
        <f>'5 Afvanding'!Q58</f>
        <v>0</v>
      </c>
      <c r="S86" s="37">
        <f>'5 Afvanding'!R58</f>
        <v>0</v>
      </c>
      <c r="T86" s="39">
        <f>'5 Afvanding'!S58</f>
        <v>0</v>
      </c>
      <c r="U86" s="40">
        <f>'5 Afvanding'!T58</f>
        <v>0</v>
      </c>
      <c r="V86" s="37" t="s">
        <v>98</v>
      </c>
      <c r="W86" s="37" t="s">
        <v>98</v>
      </c>
      <c r="X86" s="37" t="s">
        <v>98</v>
      </c>
    </row>
    <row r="87" spans="1:24" s="37" customFormat="1" x14ac:dyDescent="0.25">
      <c r="A87" s="37">
        <v>6</v>
      </c>
      <c r="B87" s="37" t="s">
        <v>266</v>
      </c>
      <c r="C87" s="37" t="s">
        <v>267</v>
      </c>
      <c r="D87" s="38" t="str">
        <f>'5 Afvanding'!C59</f>
        <v>SUM</v>
      </c>
      <c r="E87" s="37">
        <f>'5 Afvanding'!D59</f>
        <v>1</v>
      </c>
      <c r="F87" s="37">
        <f>'5 Afvanding'!E59</f>
        <v>0</v>
      </c>
      <c r="G87" s="37">
        <f>'5 Afvanding'!F59</f>
        <v>0</v>
      </c>
      <c r="H87" s="37">
        <f>'5 Afvanding'!G59</f>
        <v>0</v>
      </c>
      <c r="I87" s="37">
        <f>'5 Afvanding'!H59</f>
        <v>0</v>
      </c>
      <c r="J87" s="37">
        <f>'5 Afvanding'!I59</f>
        <v>0</v>
      </c>
      <c r="K87" s="37">
        <f>'5 Afvanding'!J59</f>
        <v>0</v>
      </c>
      <c r="L87" s="37">
        <f>'5 Afvanding'!K59</f>
        <v>0</v>
      </c>
      <c r="M87" s="37">
        <f>'5 Afvanding'!L59</f>
        <v>0</v>
      </c>
      <c r="N87" s="37">
        <f>'5 Afvanding'!M59</f>
        <v>0</v>
      </c>
      <c r="O87" s="37">
        <f>'5 Afvanding'!N59</f>
        <v>0</v>
      </c>
      <c r="P87" s="37">
        <f>'5 Afvanding'!O59</f>
        <v>0</v>
      </c>
      <c r="Q87" s="37">
        <f>'5 Afvanding'!P59</f>
        <v>0</v>
      </c>
      <c r="R87" s="37">
        <f>'5 Afvanding'!Q59</f>
        <v>0</v>
      </c>
      <c r="S87" s="37">
        <f>'5 Afvanding'!R59</f>
        <v>1</v>
      </c>
      <c r="T87" s="39">
        <f>'5 Afvanding'!S59</f>
        <v>27322</v>
      </c>
      <c r="U87" s="40">
        <f>'5 Afvanding'!T59</f>
        <v>27322</v>
      </c>
      <c r="V87" s="37" t="s">
        <v>98</v>
      </c>
      <c r="W87" s="37" t="s">
        <v>98</v>
      </c>
      <c r="X87" s="37" t="s">
        <v>98</v>
      </c>
    </row>
    <row r="88" spans="1:24" s="37" customFormat="1" x14ac:dyDescent="0.25">
      <c r="A88" s="37">
        <v>6</v>
      </c>
      <c r="B88" s="37" t="s">
        <v>268</v>
      </c>
      <c r="C88" s="37" t="s">
        <v>269</v>
      </c>
      <c r="D88" s="38" t="str">
        <f>'5 Afvanding'!C60</f>
        <v>SUM</v>
      </c>
      <c r="E88" s="37">
        <f>'5 Afvanding'!D60</f>
        <v>1</v>
      </c>
      <c r="F88" s="37">
        <f>'5 Afvanding'!E60</f>
        <v>0</v>
      </c>
      <c r="G88" s="37">
        <f>'5 Afvanding'!F60</f>
        <v>0</v>
      </c>
      <c r="H88" s="37">
        <f>'5 Afvanding'!G60</f>
        <v>0</v>
      </c>
      <c r="I88" s="37">
        <f>'5 Afvanding'!H60</f>
        <v>0</v>
      </c>
      <c r="J88" s="37">
        <f>'5 Afvanding'!I60</f>
        <v>0</v>
      </c>
      <c r="K88" s="37">
        <f>'5 Afvanding'!J60</f>
        <v>0</v>
      </c>
      <c r="L88" s="37">
        <f>'5 Afvanding'!K60</f>
        <v>0</v>
      </c>
      <c r="M88" s="37">
        <f>'5 Afvanding'!L60</f>
        <v>0</v>
      </c>
      <c r="N88" s="37">
        <f>'5 Afvanding'!M60</f>
        <v>0</v>
      </c>
      <c r="O88" s="37">
        <f>'5 Afvanding'!N60</f>
        <v>0</v>
      </c>
      <c r="P88" s="37">
        <f>'5 Afvanding'!O60</f>
        <v>0</v>
      </c>
      <c r="Q88" s="37">
        <f>'5 Afvanding'!P60</f>
        <v>0</v>
      </c>
      <c r="R88" s="37">
        <f>'5 Afvanding'!Q60</f>
        <v>0</v>
      </c>
      <c r="S88" s="37">
        <f>'5 Afvanding'!R60</f>
        <v>1</v>
      </c>
      <c r="T88" s="39">
        <f>'5 Afvanding'!S60</f>
        <v>109106</v>
      </c>
      <c r="U88" s="40">
        <f>'5 Afvanding'!T60</f>
        <v>109106</v>
      </c>
      <c r="V88" s="37" t="s">
        <v>98</v>
      </c>
      <c r="W88" s="37" t="s">
        <v>98</v>
      </c>
      <c r="X88" s="37" t="s">
        <v>98</v>
      </c>
    </row>
    <row r="89" spans="1:24" s="37" customFormat="1" x14ac:dyDescent="0.25">
      <c r="A89" s="37">
        <v>6</v>
      </c>
      <c r="B89" s="37" t="s">
        <v>270</v>
      </c>
      <c r="C89" s="37" t="s">
        <v>261</v>
      </c>
      <c r="D89" s="38" t="str">
        <f>'5 Afvanding'!C61</f>
        <v>SUM</v>
      </c>
      <c r="E89" s="37">
        <f>'5 Afvanding'!D61</f>
        <v>0</v>
      </c>
      <c r="F89" s="37">
        <f>'5 Afvanding'!E61</f>
        <v>0</v>
      </c>
      <c r="G89" s="37">
        <f>'5 Afvanding'!F61</f>
        <v>0</v>
      </c>
      <c r="H89" s="37">
        <f>'5 Afvanding'!G61</f>
        <v>0</v>
      </c>
      <c r="I89" s="37">
        <f>'5 Afvanding'!H61</f>
        <v>0</v>
      </c>
      <c r="J89" s="37">
        <f>'5 Afvanding'!I61</f>
        <v>1</v>
      </c>
      <c r="K89" s="37">
        <f>'5 Afvanding'!J61</f>
        <v>0</v>
      </c>
      <c r="L89" s="37">
        <f>'5 Afvanding'!K61</f>
        <v>0</v>
      </c>
      <c r="M89" s="37">
        <f>'5 Afvanding'!L61</f>
        <v>0</v>
      </c>
      <c r="N89" s="37">
        <f>'5 Afvanding'!M61</f>
        <v>0</v>
      </c>
      <c r="O89" s="37">
        <f>'5 Afvanding'!N61</f>
        <v>0</v>
      </c>
      <c r="P89" s="37">
        <f>'5 Afvanding'!O61</f>
        <v>0</v>
      </c>
      <c r="Q89" s="37">
        <f>'5 Afvanding'!P61</f>
        <v>0</v>
      </c>
      <c r="R89" s="37">
        <f>'5 Afvanding'!Q61</f>
        <v>0</v>
      </c>
      <c r="S89" s="37">
        <f>'5 Afvanding'!R61</f>
        <v>1</v>
      </c>
      <c r="T89" s="39">
        <f>'5 Afvanding'!S61</f>
        <v>4586</v>
      </c>
      <c r="U89" s="40">
        <f>'5 Afvanding'!T61</f>
        <v>4586</v>
      </c>
      <c r="V89" s="37" t="s">
        <v>98</v>
      </c>
      <c r="W89" s="37" t="s">
        <v>98</v>
      </c>
      <c r="X89" s="37" t="s">
        <v>98</v>
      </c>
    </row>
    <row r="90" spans="1:24" s="37" customFormat="1" x14ac:dyDescent="0.25">
      <c r="A90" s="37">
        <v>5</v>
      </c>
      <c r="B90" s="37" t="s">
        <v>271</v>
      </c>
      <c r="C90" s="37" t="s">
        <v>272</v>
      </c>
      <c r="D90" s="38" t="str">
        <f>'5 Afvanding'!C62</f>
        <v>SUM</v>
      </c>
      <c r="E90" s="37">
        <f>'5 Afvanding'!D62</f>
        <v>0</v>
      </c>
      <c r="F90" s="37">
        <f>'5 Afvanding'!E62</f>
        <v>0</v>
      </c>
      <c r="G90" s="37">
        <f>'5 Afvanding'!F62</f>
        <v>0</v>
      </c>
      <c r="H90" s="37">
        <f>'5 Afvanding'!G62</f>
        <v>0</v>
      </c>
      <c r="I90" s="37">
        <f>'5 Afvanding'!H62</f>
        <v>0</v>
      </c>
      <c r="J90" s="37">
        <f>'5 Afvanding'!I62</f>
        <v>0</v>
      </c>
      <c r="K90" s="37">
        <f>'5 Afvanding'!J62</f>
        <v>0</v>
      </c>
      <c r="L90" s="37">
        <f>'5 Afvanding'!K62</f>
        <v>0</v>
      </c>
      <c r="M90" s="37">
        <f>'5 Afvanding'!L62</f>
        <v>0</v>
      </c>
      <c r="N90" s="37">
        <f>'5 Afvanding'!M62</f>
        <v>0</v>
      </c>
      <c r="O90" s="37">
        <f>'5 Afvanding'!N62</f>
        <v>0</v>
      </c>
      <c r="P90" s="37">
        <f>'5 Afvanding'!O62</f>
        <v>0</v>
      </c>
      <c r="Q90" s="37">
        <f>'5 Afvanding'!P62</f>
        <v>0</v>
      </c>
      <c r="R90" s="37">
        <f>'5 Afvanding'!Q62</f>
        <v>0</v>
      </c>
      <c r="S90" s="37">
        <f>'5 Afvanding'!R62</f>
        <v>0</v>
      </c>
      <c r="T90" s="39">
        <f>'5 Afvanding'!S62</f>
        <v>0</v>
      </c>
      <c r="U90" s="40">
        <f>'5 Afvanding'!T62</f>
        <v>0</v>
      </c>
      <c r="V90" s="37" t="s">
        <v>98</v>
      </c>
      <c r="W90" s="37" t="s">
        <v>98</v>
      </c>
      <c r="X90" s="37" t="s">
        <v>98</v>
      </c>
    </row>
    <row r="91" spans="1:24" s="37" customFormat="1" x14ac:dyDescent="0.25">
      <c r="A91" s="37">
        <v>6</v>
      </c>
      <c r="B91" s="37" t="s">
        <v>273</v>
      </c>
      <c r="C91" s="37" t="s">
        <v>267</v>
      </c>
      <c r="D91" s="38" t="str">
        <f>'5 Afvanding'!C63</f>
        <v>SUM</v>
      </c>
      <c r="E91" s="37">
        <f>'5 Afvanding'!D63</f>
        <v>1</v>
      </c>
      <c r="F91" s="37">
        <f>'5 Afvanding'!E63</f>
        <v>0</v>
      </c>
      <c r="G91" s="37">
        <f>'5 Afvanding'!F63</f>
        <v>0</v>
      </c>
      <c r="H91" s="37">
        <f>'5 Afvanding'!G63</f>
        <v>0</v>
      </c>
      <c r="I91" s="37">
        <f>'5 Afvanding'!H63</f>
        <v>0</v>
      </c>
      <c r="J91" s="37">
        <f>'5 Afvanding'!I63</f>
        <v>0</v>
      </c>
      <c r="K91" s="37">
        <f>'5 Afvanding'!J63</f>
        <v>0</v>
      </c>
      <c r="L91" s="37">
        <f>'5 Afvanding'!K63</f>
        <v>0</v>
      </c>
      <c r="M91" s="37">
        <f>'5 Afvanding'!L63</f>
        <v>0</v>
      </c>
      <c r="N91" s="37">
        <f>'5 Afvanding'!M63</f>
        <v>0</v>
      </c>
      <c r="O91" s="37">
        <f>'5 Afvanding'!N63</f>
        <v>0</v>
      </c>
      <c r="P91" s="37">
        <f>'5 Afvanding'!O63</f>
        <v>0</v>
      </c>
      <c r="Q91" s="37">
        <f>'5 Afvanding'!P63</f>
        <v>0</v>
      </c>
      <c r="R91" s="37">
        <f>'5 Afvanding'!Q63</f>
        <v>0</v>
      </c>
      <c r="S91" s="37">
        <f>'5 Afvanding'!R63</f>
        <v>1</v>
      </c>
      <c r="T91" s="39">
        <f>'5 Afvanding'!S63</f>
        <v>27322</v>
      </c>
      <c r="U91" s="40">
        <f>'5 Afvanding'!T63</f>
        <v>27322</v>
      </c>
      <c r="V91" s="37" t="s">
        <v>98</v>
      </c>
      <c r="W91" s="37" t="s">
        <v>98</v>
      </c>
      <c r="X91" s="37" t="s">
        <v>98</v>
      </c>
    </row>
    <row r="92" spans="1:24" s="37" customFormat="1" x14ac:dyDescent="0.25">
      <c r="A92" s="37">
        <v>6</v>
      </c>
      <c r="B92" s="37" t="s">
        <v>274</v>
      </c>
      <c r="C92" s="37" t="s">
        <v>275</v>
      </c>
      <c r="D92" s="38" t="str">
        <f>'5 Afvanding'!C64</f>
        <v>SUM</v>
      </c>
      <c r="E92" s="37">
        <f>'5 Afvanding'!D64</f>
        <v>1</v>
      </c>
      <c r="F92" s="37">
        <f>'5 Afvanding'!E64</f>
        <v>0</v>
      </c>
      <c r="G92" s="37">
        <f>'5 Afvanding'!F64</f>
        <v>0</v>
      </c>
      <c r="H92" s="37">
        <f>'5 Afvanding'!G64</f>
        <v>0</v>
      </c>
      <c r="I92" s="37">
        <f>'5 Afvanding'!H64</f>
        <v>0</v>
      </c>
      <c r="J92" s="37">
        <f>'5 Afvanding'!I64</f>
        <v>0</v>
      </c>
      <c r="K92" s="37">
        <f>'5 Afvanding'!J64</f>
        <v>0</v>
      </c>
      <c r="L92" s="37">
        <f>'5 Afvanding'!K64</f>
        <v>0</v>
      </c>
      <c r="M92" s="37">
        <f>'5 Afvanding'!L64</f>
        <v>0</v>
      </c>
      <c r="N92" s="37">
        <f>'5 Afvanding'!M64</f>
        <v>0</v>
      </c>
      <c r="O92" s="37">
        <f>'5 Afvanding'!N64</f>
        <v>0</v>
      </c>
      <c r="P92" s="37">
        <f>'5 Afvanding'!O64</f>
        <v>0</v>
      </c>
      <c r="Q92" s="37">
        <f>'5 Afvanding'!P64</f>
        <v>0</v>
      </c>
      <c r="R92" s="37">
        <f>'5 Afvanding'!Q64</f>
        <v>0</v>
      </c>
      <c r="S92" s="37">
        <f>'5 Afvanding'!R64</f>
        <v>1</v>
      </c>
      <c r="T92" s="39">
        <f>'5 Afvanding'!S64</f>
        <v>109835</v>
      </c>
      <c r="U92" s="40">
        <f>'5 Afvanding'!T64</f>
        <v>109835</v>
      </c>
      <c r="V92" s="37" t="s">
        <v>98</v>
      </c>
      <c r="W92" s="37" t="s">
        <v>98</v>
      </c>
      <c r="X92" s="37" t="s">
        <v>98</v>
      </c>
    </row>
    <row r="93" spans="1:24" s="37" customFormat="1" x14ac:dyDescent="0.25">
      <c r="A93" s="37">
        <v>5</v>
      </c>
      <c r="B93" s="37" t="s">
        <v>276</v>
      </c>
      <c r="C93" s="37" t="s">
        <v>277</v>
      </c>
      <c r="D93" s="38" t="str">
        <f>'5 Afvanding'!C65</f>
        <v>SUM</v>
      </c>
      <c r="E93" s="37">
        <f>'5 Afvanding'!D65</f>
        <v>0</v>
      </c>
      <c r="F93" s="37">
        <f>'5 Afvanding'!E65</f>
        <v>0</v>
      </c>
      <c r="G93" s="37">
        <f>'5 Afvanding'!F65</f>
        <v>0</v>
      </c>
      <c r="H93" s="37">
        <f>'5 Afvanding'!G65</f>
        <v>0</v>
      </c>
      <c r="I93" s="37">
        <f>'5 Afvanding'!H65</f>
        <v>0</v>
      </c>
      <c r="J93" s="37">
        <f>'5 Afvanding'!I65</f>
        <v>0</v>
      </c>
      <c r="K93" s="37">
        <f>'5 Afvanding'!J65</f>
        <v>0</v>
      </c>
      <c r="L93" s="37">
        <f>'5 Afvanding'!K65</f>
        <v>0</v>
      </c>
      <c r="M93" s="37">
        <f>'5 Afvanding'!L65</f>
        <v>0</v>
      </c>
      <c r="N93" s="37">
        <f>'5 Afvanding'!M65</f>
        <v>0</v>
      </c>
      <c r="O93" s="37">
        <f>'5 Afvanding'!N65</f>
        <v>0</v>
      </c>
      <c r="P93" s="37">
        <f>'5 Afvanding'!O65</f>
        <v>0</v>
      </c>
      <c r="Q93" s="37">
        <f>'5 Afvanding'!P65</f>
        <v>0</v>
      </c>
      <c r="R93" s="37">
        <f>'5 Afvanding'!Q65</f>
        <v>0</v>
      </c>
      <c r="S93" s="37">
        <f>'5 Afvanding'!R65</f>
        <v>0</v>
      </c>
      <c r="T93" s="39">
        <f>'5 Afvanding'!S65</f>
        <v>0</v>
      </c>
      <c r="U93" s="40">
        <f>'5 Afvanding'!T65</f>
        <v>0</v>
      </c>
      <c r="V93" s="37" t="s">
        <v>98</v>
      </c>
      <c r="W93" s="37" t="s">
        <v>98</v>
      </c>
      <c r="X93" s="37" t="s">
        <v>98</v>
      </c>
    </row>
    <row r="94" spans="1:24" s="37" customFormat="1" x14ac:dyDescent="0.25">
      <c r="A94" s="37">
        <v>6</v>
      </c>
      <c r="B94" s="37" t="s">
        <v>278</v>
      </c>
      <c r="C94" s="37" t="s">
        <v>267</v>
      </c>
      <c r="D94" s="38" t="str">
        <f>'5 Afvanding'!C66</f>
        <v>SUM</v>
      </c>
      <c r="E94" s="37">
        <f>'5 Afvanding'!D66</f>
        <v>1</v>
      </c>
      <c r="F94" s="37">
        <f>'5 Afvanding'!E66</f>
        <v>0</v>
      </c>
      <c r="G94" s="37">
        <f>'5 Afvanding'!F66</f>
        <v>0</v>
      </c>
      <c r="H94" s="37">
        <f>'5 Afvanding'!G66</f>
        <v>0</v>
      </c>
      <c r="I94" s="37">
        <f>'5 Afvanding'!H66</f>
        <v>0</v>
      </c>
      <c r="J94" s="37">
        <f>'5 Afvanding'!I66</f>
        <v>0</v>
      </c>
      <c r="K94" s="37">
        <f>'5 Afvanding'!J66</f>
        <v>0</v>
      </c>
      <c r="L94" s="37">
        <f>'5 Afvanding'!K66</f>
        <v>0</v>
      </c>
      <c r="M94" s="37">
        <f>'5 Afvanding'!L66</f>
        <v>0</v>
      </c>
      <c r="N94" s="37">
        <f>'5 Afvanding'!M66</f>
        <v>0</v>
      </c>
      <c r="O94" s="37">
        <f>'5 Afvanding'!N66</f>
        <v>0</v>
      </c>
      <c r="P94" s="37">
        <f>'5 Afvanding'!O66</f>
        <v>0</v>
      </c>
      <c r="Q94" s="37">
        <f>'5 Afvanding'!P66</f>
        <v>0</v>
      </c>
      <c r="R94" s="37">
        <f>'5 Afvanding'!Q66</f>
        <v>0</v>
      </c>
      <c r="S94" s="37">
        <f>'5 Afvanding'!R66</f>
        <v>1</v>
      </c>
      <c r="T94" s="39">
        <f>'5 Afvanding'!S66</f>
        <v>27322</v>
      </c>
      <c r="U94" s="40">
        <f>'5 Afvanding'!T66</f>
        <v>27322</v>
      </c>
      <c r="V94" s="37" t="s">
        <v>98</v>
      </c>
      <c r="W94" s="37" t="s">
        <v>98</v>
      </c>
      <c r="X94" s="37" t="s">
        <v>98</v>
      </c>
    </row>
    <row r="95" spans="1:24" s="37" customFormat="1" x14ac:dyDescent="0.25">
      <c r="A95" s="37">
        <v>6</v>
      </c>
      <c r="B95" s="37" t="s">
        <v>279</v>
      </c>
      <c r="C95" s="37" t="s">
        <v>269</v>
      </c>
      <c r="D95" s="38" t="str">
        <f>'5 Afvanding'!C67</f>
        <v>SUM</v>
      </c>
      <c r="E95" s="37">
        <f>'5 Afvanding'!D67</f>
        <v>1</v>
      </c>
      <c r="F95" s="37">
        <f>'5 Afvanding'!E67</f>
        <v>0</v>
      </c>
      <c r="G95" s="37">
        <f>'5 Afvanding'!F67</f>
        <v>0</v>
      </c>
      <c r="H95" s="37">
        <f>'5 Afvanding'!G67</f>
        <v>0</v>
      </c>
      <c r="I95" s="37">
        <f>'5 Afvanding'!H67</f>
        <v>0</v>
      </c>
      <c r="J95" s="37">
        <f>'5 Afvanding'!I67</f>
        <v>0</v>
      </c>
      <c r="K95" s="37">
        <f>'5 Afvanding'!J67</f>
        <v>0</v>
      </c>
      <c r="L95" s="37">
        <f>'5 Afvanding'!K67</f>
        <v>0</v>
      </c>
      <c r="M95" s="37">
        <f>'5 Afvanding'!L67</f>
        <v>0</v>
      </c>
      <c r="N95" s="37">
        <f>'5 Afvanding'!M67</f>
        <v>0</v>
      </c>
      <c r="O95" s="37">
        <f>'5 Afvanding'!N67</f>
        <v>0</v>
      </c>
      <c r="P95" s="37">
        <f>'5 Afvanding'!O67</f>
        <v>0</v>
      </c>
      <c r="Q95" s="37">
        <f>'5 Afvanding'!P67</f>
        <v>0</v>
      </c>
      <c r="R95" s="37">
        <f>'5 Afvanding'!Q67</f>
        <v>0</v>
      </c>
      <c r="S95" s="37">
        <f>'5 Afvanding'!R67</f>
        <v>1</v>
      </c>
      <c r="T95" s="39">
        <f>'5 Afvanding'!S67</f>
        <v>92531</v>
      </c>
      <c r="U95" s="40">
        <f>'5 Afvanding'!T67</f>
        <v>92531</v>
      </c>
      <c r="V95" s="37" t="s">
        <v>98</v>
      </c>
      <c r="W95" s="37" t="s">
        <v>98</v>
      </c>
      <c r="X95" s="37" t="s">
        <v>98</v>
      </c>
    </row>
    <row r="96" spans="1:24" s="37" customFormat="1" x14ac:dyDescent="0.25">
      <c r="A96" s="37">
        <v>6</v>
      </c>
      <c r="B96" s="37" t="s">
        <v>280</v>
      </c>
      <c r="C96" s="37" t="s">
        <v>261</v>
      </c>
      <c r="D96" s="38" t="str">
        <f>'5 Afvanding'!C68</f>
        <v>M</v>
      </c>
      <c r="E96" s="37">
        <f>'5 Afvanding'!D68</f>
        <v>0</v>
      </c>
      <c r="F96" s="37">
        <f>'5 Afvanding'!E68</f>
        <v>3</v>
      </c>
      <c r="G96" s="37">
        <f>'5 Afvanding'!F68</f>
        <v>0</v>
      </c>
      <c r="H96" s="37">
        <f>'5 Afvanding'!G68</f>
        <v>0</v>
      </c>
      <c r="I96" s="37">
        <f>'5 Afvanding'!H68</f>
        <v>0</v>
      </c>
      <c r="J96" s="37">
        <f>'5 Afvanding'!I68</f>
        <v>0</v>
      </c>
      <c r="K96" s="37">
        <f>'5 Afvanding'!J68</f>
        <v>0</v>
      </c>
      <c r="L96" s="37">
        <f>'5 Afvanding'!K68</f>
        <v>0</v>
      </c>
      <c r="M96" s="37">
        <f>'5 Afvanding'!L68</f>
        <v>0</v>
      </c>
      <c r="N96" s="37">
        <f>'5 Afvanding'!M68</f>
        <v>0</v>
      </c>
      <c r="O96" s="37">
        <f>'5 Afvanding'!N68</f>
        <v>0</v>
      </c>
      <c r="P96" s="37">
        <f>'5 Afvanding'!O68</f>
        <v>0</v>
      </c>
      <c r="Q96" s="37">
        <f>'5 Afvanding'!P68</f>
        <v>0</v>
      </c>
      <c r="R96" s="37">
        <f>'5 Afvanding'!Q68</f>
        <v>0</v>
      </c>
      <c r="S96" s="37">
        <f>'5 Afvanding'!R68</f>
        <v>3</v>
      </c>
      <c r="T96" s="39">
        <f>'5 Afvanding'!S68</f>
        <v>4586</v>
      </c>
      <c r="U96" s="40">
        <f>'5 Afvanding'!T68</f>
        <v>13758</v>
      </c>
      <c r="V96" s="37" t="s">
        <v>98</v>
      </c>
      <c r="W96" s="37" t="s">
        <v>98</v>
      </c>
      <c r="X96" s="37" t="s">
        <v>98</v>
      </c>
    </row>
    <row r="97" spans="1:24" s="37" customFormat="1" x14ac:dyDescent="0.25">
      <c r="A97" s="37">
        <v>5</v>
      </c>
      <c r="B97" s="37" t="s">
        <v>281</v>
      </c>
      <c r="C97" s="37" t="s">
        <v>282</v>
      </c>
      <c r="D97" s="38" t="str">
        <f>'5 Afvanding'!C69</f>
        <v>SUM</v>
      </c>
      <c r="E97" s="37">
        <f>'5 Afvanding'!D69</f>
        <v>0</v>
      </c>
      <c r="F97" s="37">
        <f>'5 Afvanding'!E69</f>
        <v>0</v>
      </c>
      <c r="G97" s="37">
        <f>'5 Afvanding'!F69</f>
        <v>0</v>
      </c>
      <c r="H97" s="37">
        <f>'5 Afvanding'!G69</f>
        <v>0</v>
      </c>
      <c r="I97" s="37">
        <f>'5 Afvanding'!H69</f>
        <v>0</v>
      </c>
      <c r="J97" s="37">
        <f>'5 Afvanding'!I69</f>
        <v>0</v>
      </c>
      <c r="K97" s="37">
        <f>'5 Afvanding'!J69</f>
        <v>0</v>
      </c>
      <c r="L97" s="37">
        <f>'5 Afvanding'!K69</f>
        <v>0</v>
      </c>
      <c r="M97" s="37">
        <f>'5 Afvanding'!L69</f>
        <v>0</v>
      </c>
      <c r="N97" s="37">
        <f>'5 Afvanding'!M69</f>
        <v>0</v>
      </c>
      <c r="O97" s="37">
        <f>'5 Afvanding'!N69</f>
        <v>0</v>
      </c>
      <c r="P97" s="37">
        <f>'5 Afvanding'!O69</f>
        <v>0</v>
      </c>
      <c r="Q97" s="37">
        <f>'5 Afvanding'!P69</f>
        <v>0</v>
      </c>
      <c r="R97" s="37">
        <f>'5 Afvanding'!Q69</f>
        <v>0</v>
      </c>
      <c r="S97" s="37">
        <f>'5 Afvanding'!R69</f>
        <v>0</v>
      </c>
      <c r="T97" s="39">
        <f>'5 Afvanding'!S69</f>
        <v>0</v>
      </c>
      <c r="U97" s="40">
        <f>'5 Afvanding'!T69</f>
        <v>0</v>
      </c>
      <c r="V97" s="37" t="s">
        <v>98</v>
      </c>
      <c r="W97" s="37" t="s">
        <v>98</v>
      </c>
      <c r="X97" s="37" t="s">
        <v>98</v>
      </c>
    </row>
    <row r="98" spans="1:24" s="37" customFormat="1" x14ac:dyDescent="0.25">
      <c r="A98" s="37">
        <v>6</v>
      </c>
      <c r="B98" s="37" t="s">
        <v>283</v>
      </c>
      <c r="C98" s="37" t="s">
        <v>284</v>
      </c>
      <c r="D98" s="38" t="str">
        <f>'5 Afvanding'!C70</f>
        <v>SUM</v>
      </c>
      <c r="E98" s="37">
        <f>'5 Afvanding'!D70</f>
        <v>1</v>
      </c>
      <c r="F98" s="37">
        <f>'5 Afvanding'!E70</f>
        <v>0</v>
      </c>
      <c r="G98" s="37">
        <f>'5 Afvanding'!F70</f>
        <v>0</v>
      </c>
      <c r="H98" s="37">
        <f>'5 Afvanding'!G70</f>
        <v>0</v>
      </c>
      <c r="I98" s="37">
        <f>'5 Afvanding'!H70</f>
        <v>0</v>
      </c>
      <c r="J98" s="37">
        <f>'5 Afvanding'!I70</f>
        <v>0</v>
      </c>
      <c r="K98" s="37">
        <f>'5 Afvanding'!J70</f>
        <v>0</v>
      </c>
      <c r="L98" s="37">
        <f>'5 Afvanding'!K70</f>
        <v>0</v>
      </c>
      <c r="M98" s="37">
        <f>'5 Afvanding'!L70</f>
        <v>0</v>
      </c>
      <c r="N98" s="37">
        <f>'5 Afvanding'!M70</f>
        <v>0</v>
      </c>
      <c r="O98" s="37">
        <f>'5 Afvanding'!N70</f>
        <v>0</v>
      </c>
      <c r="P98" s="37">
        <f>'5 Afvanding'!O70</f>
        <v>0</v>
      </c>
      <c r="Q98" s="37">
        <f>'5 Afvanding'!P70</f>
        <v>0</v>
      </c>
      <c r="R98" s="37">
        <f>'5 Afvanding'!Q70</f>
        <v>0</v>
      </c>
      <c r="S98" s="37">
        <f>'5 Afvanding'!R70</f>
        <v>1</v>
      </c>
      <c r="T98" s="39">
        <f>'5 Afvanding'!S70</f>
        <v>27322</v>
      </c>
      <c r="U98" s="40">
        <f>'5 Afvanding'!T70</f>
        <v>27322</v>
      </c>
      <c r="V98" s="37" t="s">
        <v>98</v>
      </c>
      <c r="W98" s="37" t="s">
        <v>98</v>
      </c>
      <c r="X98" s="37" t="s">
        <v>98</v>
      </c>
    </row>
    <row r="99" spans="1:24" s="37" customFormat="1" x14ac:dyDescent="0.25">
      <c r="A99" s="37">
        <v>6</v>
      </c>
      <c r="B99" s="37" t="s">
        <v>285</v>
      </c>
      <c r="C99" s="37" t="s">
        <v>286</v>
      </c>
      <c r="D99" s="38" t="str">
        <f>'5 Afvanding'!C71</f>
        <v>M</v>
      </c>
      <c r="E99" s="37">
        <f>'5 Afvanding'!D71</f>
        <v>0</v>
      </c>
      <c r="F99" s="37">
        <f>'5 Afvanding'!E71</f>
        <v>2</v>
      </c>
      <c r="G99" s="37">
        <f>'5 Afvanding'!F71</f>
        <v>0</v>
      </c>
      <c r="H99" s="37">
        <f>'5 Afvanding'!G71</f>
        <v>0</v>
      </c>
      <c r="I99" s="37">
        <f>'5 Afvanding'!H71</f>
        <v>0</v>
      </c>
      <c r="J99" s="37">
        <f>'5 Afvanding'!I71</f>
        <v>0</v>
      </c>
      <c r="K99" s="37">
        <f>'5 Afvanding'!J71</f>
        <v>0</v>
      </c>
      <c r="L99" s="37">
        <f>'5 Afvanding'!K71</f>
        <v>0</v>
      </c>
      <c r="M99" s="37">
        <f>'5 Afvanding'!L71</f>
        <v>0</v>
      </c>
      <c r="N99" s="37">
        <f>'5 Afvanding'!M71</f>
        <v>0</v>
      </c>
      <c r="O99" s="37">
        <f>'5 Afvanding'!N71</f>
        <v>0</v>
      </c>
      <c r="P99" s="37">
        <f>'5 Afvanding'!O71</f>
        <v>0</v>
      </c>
      <c r="Q99" s="37">
        <f>'5 Afvanding'!P71</f>
        <v>0</v>
      </c>
      <c r="R99" s="37">
        <f>'5 Afvanding'!Q71</f>
        <v>0</v>
      </c>
      <c r="S99" s="37">
        <f>'5 Afvanding'!R71</f>
        <v>2</v>
      </c>
      <c r="T99" s="39">
        <f>'5 Afvanding'!S71</f>
        <v>5444</v>
      </c>
      <c r="U99" s="40">
        <f>'5 Afvanding'!T71</f>
        <v>10888</v>
      </c>
      <c r="V99" s="37" t="s">
        <v>98</v>
      </c>
      <c r="W99" s="37" t="s">
        <v>98</v>
      </c>
      <c r="X99" s="37" t="s">
        <v>98</v>
      </c>
    </row>
    <row r="100" spans="1:24" s="37" customFormat="1" x14ac:dyDescent="0.25">
      <c r="A100" s="37">
        <v>5</v>
      </c>
      <c r="B100" s="37" t="s">
        <v>287</v>
      </c>
      <c r="C100" s="37" t="s">
        <v>288</v>
      </c>
      <c r="D100" s="38" t="str">
        <f>'5 Afvanding'!C72</f>
        <v>M</v>
      </c>
      <c r="E100" s="37">
        <f>'5 Afvanding'!D72</f>
        <v>0</v>
      </c>
      <c r="F100" s="37">
        <f>'5 Afvanding'!E72</f>
        <v>1</v>
      </c>
      <c r="G100" s="37">
        <f>'5 Afvanding'!F72</f>
        <v>0</v>
      </c>
      <c r="H100" s="37">
        <f>'5 Afvanding'!G72</f>
        <v>1</v>
      </c>
      <c r="I100" s="37">
        <f>'5 Afvanding'!H72</f>
        <v>0</v>
      </c>
      <c r="J100" s="37">
        <f>'5 Afvanding'!I72</f>
        <v>0</v>
      </c>
      <c r="K100" s="37">
        <f>'5 Afvanding'!J72</f>
        <v>0</v>
      </c>
      <c r="L100" s="37">
        <f>'5 Afvanding'!K72</f>
        <v>0</v>
      </c>
      <c r="M100" s="37">
        <f>'5 Afvanding'!L72</f>
        <v>0</v>
      </c>
      <c r="N100" s="37">
        <f>'5 Afvanding'!M72</f>
        <v>0</v>
      </c>
      <c r="O100" s="37">
        <f>'5 Afvanding'!N72</f>
        <v>0</v>
      </c>
      <c r="P100" s="37">
        <f>'5 Afvanding'!O72</f>
        <v>0</v>
      </c>
      <c r="Q100" s="37">
        <f>'5 Afvanding'!P72</f>
        <v>0</v>
      </c>
      <c r="R100" s="37">
        <f>'5 Afvanding'!Q72</f>
        <v>0</v>
      </c>
      <c r="S100" s="37">
        <f>'5 Afvanding'!R72</f>
        <v>2</v>
      </c>
      <c r="T100" s="39">
        <f>'5 Afvanding'!S72</f>
        <v>5444</v>
      </c>
      <c r="U100" s="40">
        <f>'5 Afvanding'!T72</f>
        <v>10888</v>
      </c>
      <c r="V100" s="37" t="s">
        <v>98</v>
      </c>
      <c r="W100" s="37" t="s">
        <v>98</v>
      </c>
      <c r="X100" s="37" t="s">
        <v>98</v>
      </c>
    </row>
    <row r="101" spans="1:24" s="37" customFormat="1" x14ac:dyDescent="0.25">
      <c r="A101" s="37">
        <v>6</v>
      </c>
      <c r="B101" s="37" t="s">
        <v>289</v>
      </c>
      <c r="C101" s="37" t="s">
        <v>290</v>
      </c>
      <c r="D101" s="38" t="str">
        <f>'5 Afvanding'!C73</f>
        <v>M</v>
      </c>
      <c r="E101" s="37">
        <f>'5 Afvanding'!D73</f>
        <v>0</v>
      </c>
      <c r="F101" s="37">
        <f>'5 Afvanding'!E73</f>
        <v>20</v>
      </c>
      <c r="G101" s="37">
        <f>'5 Afvanding'!F73</f>
        <v>0</v>
      </c>
      <c r="H101" s="37">
        <f>'5 Afvanding'!G73</f>
        <v>20</v>
      </c>
      <c r="I101" s="37">
        <f>'5 Afvanding'!H73</f>
        <v>0</v>
      </c>
      <c r="J101" s="37">
        <f>'5 Afvanding'!I73</f>
        <v>0</v>
      </c>
      <c r="K101" s="37">
        <f>'5 Afvanding'!J73</f>
        <v>0</v>
      </c>
      <c r="L101" s="37">
        <f>'5 Afvanding'!K73</f>
        <v>0</v>
      </c>
      <c r="M101" s="37">
        <f>'5 Afvanding'!L73</f>
        <v>0</v>
      </c>
      <c r="N101" s="37">
        <f>'5 Afvanding'!M73</f>
        <v>0</v>
      </c>
      <c r="O101" s="37">
        <f>'5 Afvanding'!N73</f>
        <v>0</v>
      </c>
      <c r="P101" s="37">
        <f>'5 Afvanding'!O73</f>
        <v>0</v>
      </c>
      <c r="Q101" s="37">
        <f>'5 Afvanding'!P73</f>
        <v>0</v>
      </c>
      <c r="R101" s="37">
        <f>'5 Afvanding'!Q73</f>
        <v>0</v>
      </c>
      <c r="S101" s="37">
        <f>'5 Afvanding'!R73</f>
        <v>40</v>
      </c>
      <c r="T101" s="39">
        <f>'5 Afvanding'!S73</f>
        <v>858</v>
      </c>
      <c r="U101" s="40">
        <f>'5 Afvanding'!T73</f>
        <v>34320</v>
      </c>
      <c r="V101" s="37" t="s">
        <v>98</v>
      </c>
      <c r="W101" s="37" t="s">
        <v>98</v>
      </c>
      <c r="X101" s="37" t="s">
        <v>98</v>
      </c>
    </row>
    <row r="102" spans="1:24" s="37" customFormat="1" x14ac:dyDescent="0.25">
      <c r="A102" s="37">
        <v>5</v>
      </c>
      <c r="B102" s="37" t="s">
        <v>291</v>
      </c>
      <c r="C102" s="37" t="s">
        <v>292</v>
      </c>
      <c r="D102" s="38" t="str">
        <f>'5 Afvanding'!C74</f>
        <v>SUM</v>
      </c>
      <c r="E102" s="37">
        <f>'5 Afvanding'!D74</f>
        <v>0</v>
      </c>
      <c r="F102" s="37">
        <f>'5 Afvanding'!E74</f>
        <v>0</v>
      </c>
      <c r="G102" s="37">
        <f>'5 Afvanding'!F74</f>
        <v>0</v>
      </c>
      <c r="H102" s="37">
        <f>'5 Afvanding'!G74</f>
        <v>0</v>
      </c>
      <c r="I102" s="37">
        <f>'5 Afvanding'!H74</f>
        <v>0</v>
      </c>
      <c r="J102" s="37">
        <f>'5 Afvanding'!I74</f>
        <v>0</v>
      </c>
      <c r="K102" s="37">
        <f>'5 Afvanding'!J74</f>
        <v>0</v>
      </c>
      <c r="L102" s="37">
        <f>'5 Afvanding'!K74</f>
        <v>0</v>
      </c>
      <c r="M102" s="37">
        <f>'5 Afvanding'!L74</f>
        <v>0</v>
      </c>
      <c r="N102" s="37">
        <f>'5 Afvanding'!M74</f>
        <v>0</v>
      </c>
      <c r="O102" s="37">
        <f>'5 Afvanding'!N74</f>
        <v>0</v>
      </c>
      <c r="P102" s="37">
        <f>'5 Afvanding'!O74</f>
        <v>0</v>
      </c>
      <c r="Q102" s="37">
        <f>'5 Afvanding'!P74</f>
        <v>0</v>
      </c>
      <c r="R102" s="37">
        <f>'5 Afvanding'!Q74</f>
        <v>0</v>
      </c>
      <c r="S102" s="37">
        <f>'5 Afvanding'!R74</f>
        <v>0</v>
      </c>
      <c r="T102" s="39">
        <f>'5 Afvanding'!S74</f>
        <v>0</v>
      </c>
      <c r="U102" s="40">
        <f>'5 Afvanding'!T74</f>
        <v>0</v>
      </c>
      <c r="V102" s="37" t="s">
        <v>98</v>
      </c>
      <c r="W102" s="37" t="s">
        <v>98</v>
      </c>
      <c r="X102" s="37" t="s">
        <v>98</v>
      </c>
    </row>
    <row r="103" spans="1:24" s="37" customFormat="1" x14ac:dyDescent="0.25">
      <c r="A103" s="37">
        <v>6</v>
      </c>
      <c r="B103" s="37" t="s">
        <v>293</v>
      </c>
      <c r="C103" s="37" t="s">
        <v>267</v>
      </c>
      <c r="D103" s="38" t="str">
        <f>'5 Afvanding'!C75</f>
        <v>SUM</v>
      </c>
      <c r="E103" s="37">
        <f>'5 Afvanding'!D75</f>
        <v>1</v>
      </c>
      <c r="F103" s="37">
        <f>'5 Afvanding'!E75</f>
        <v>0</v>
      </c>
      <c r="G103" s="37">
        <f>'5 Afvanding'!F75</f>
        <v>0</v>
      </c>
      <c r="H103" s="37">
        <f>'5 Afvanding'!G75</f>
        <v>0</v>
      </c>
      <c r="I103" s="37">
        <f>'5 Afvanding'!H75</f>
        <v>0</v>
      </c>
      <c r="J103" s="37">
        <f>'5 Afvanding'!I75</f>
        <v>0</v>
      </c>
      <c r="K103" s="37">
        <f>'5 Afvanding'!J75</f>
        <v>0</v>
      </c>
      <c r="L103" s="37">
        <f>'5 Afvanding'!K75</f>
        <v>0</v>
      </c>
      <c r="M103" s="37">
        <f>'5 Afvanding'!L75</f>
        <v>0</v>
      </c>
      <c r="N103" s="37">
        <f>'5 Afvanding'!M75</f>
        <v>0</v>
      </c>
      <c r="O103" s="37">
        <f>'5 Afvanding'!N75</f>
        <v>0</v>
      </c>
      <c r="P103" s="37">
        <f>'5 Afvanding'!O75</f>
        <v>0</v>
      </c>
      <c r="Q103" s="37">
        <f>'5 Afvanding'!P75</f>
        <v>0</v>
      </c>
      <c r="R103" s="37">
        <f>'5 Afvanding'!Q75</f>
        <v>0</v>
      </c>
      <c r="S103" s="37">
        <f>'5 Afvanding'!R75</f>
        <v>1</v>
      </c>
      <c r="T103" s="39">
        <f>'5 Afvanding'!S75</f>
        <v>27322</v>
      </c>
      <c r="U103" s="40">
        <f>'5 Afvanding'!T75</f>
        <v>27322</v>
      </c>
      <c r="V103" s="37" t="s">
        <v>98</v>
      </c>
      <c r="W103" s="37" t="s">
        <v>98</v>
      </c>
      <c r="X103" s="37" t="s">
        <v>98</v>
      </c>
    </row>
    <row r="104" spans="1:24" s="37" customFormat="1" x14ac:dyDescent="0.25">
      <c r="A104" s="37">
        <v>6</v>
      </c>
      <c r="B104" s="37" t="s">
        <v>294</v>
      </c>
      <c r="C104" s="37" t="s">
        <v>269</v>
      </c>
      <c r="D104" s="38" t="str">
        <f>'5 Afvanding'!C76</f>
        <v>SUM</v>
      </c>
      <c r="E104" s="37">
        <f>'5 Afvanding'!D76</f>
        <v>1</v>
      </c>
      <c r="F104" s="37">
        <f>'5 Afvanding'!E76</f>
        <v>0</v>
      </c>
      <c r="G104" s="37">
        <f>'5 Afvanding'!F76</f>
        <v>0</v>
      </c>
      <c r="H104" s="37">
        <f>'5 Afvanding'!G76</f>
        <v>0</v>
      </c>
      <c r="I104" s="37">
        <f>'5 Afvanding'!H76</f>
        <v>0</v>
      </c>
      <c r="J104" s="37">
        <f>'5 Afvanding'!I76</f>
        <v>0</v>
      </c>
      <c r="K104" s="37">
        <f>'5 Afvanding'!J76</f>
        <v>0</v>
      </c>
      <c r="L104" s="37">
        <f>'5 Afvanding'!K76</f>
        <v>0</v>
      </c>
      <c r="M104" s="37">
        <f>'5 Afvanding'!L76</f>
        <v>0</v>
      </c>
      <c r="N104" s="37">
        <f>'5 Afvanding'!M76</f>
        <v>0</v>
      </c>
      <c r="O104" s="37">
        <f>'5 Afvanding'!N76</f>
        <v>0</v>
      </c>
      <c r="P104" s="37">
        <f>'5 Afvanding'!O76</f>
        <v>0</v>
      </c>
      <c r="Q104" s="37">
        <f>'5 Afvanding'!P76</f>
        <v>0</v>
      </c>
      <c r="R104" s="37">
        <f>'5 Afvanding'!Q76</f>
        <v>0</v>
      </c>
      <c r="S104" s="37">
        <f>'5 Afvanding'!R76</f>
        <v>1</v>
      </c>
      <c r="T104" s="39">
        <f>'5 Afvanding'!S76</f>
        <v>102185</v>
      </c>
      <c r="U104" s="40">
        <f>'5 Afvanding'!T76</f>
        <v>102185</v>
      </c>
      <c r="V104" s="37" t="s">
        <v>98</v>
      </c>
      <c r="W104" s="37" t="s">
        <v>98</v>
      </c>
      <c r="X104" s="37" t="s">
        <v>98</v>
      </c>
    </row>
    <row r="105" spans="1:24" s="37" customFormat="1" x14ac:dyDescent="0.25">
      <c r="A105" s="37">
        <v>5</v>
      </c>
      <c r="B105" s="37" t="s">
        <v>295</v>
      </c>
      <c r="C105" s="37" t="s">
        <v>296</v>
      </c>
      <c r="D105" s="38" t="str">
        <f>'5 Afvanding'!C77</f>
        <v>SUM</v>
      </c>
      <c r="E105" s="37">
        <f>'5 Afvanding'!D77</f>
        <v>1</v>
      </c>
      <c r="F105" s="37">
        <f>'5 Afvanding'!E77</f>
        <v>0</v>
      </c>
      <c r="G105" s="37">
        <f>'5 Afvanding'!F77</f>
        <v>0</v>
      </c>
      <c r="H105" s="37">
        <f>'5 Afvanding'!G77</f>
        <v>0</v>
      </c>
      <c r="I105" s="37">
        <f>'5 Afvanding'!H77</f>
        <v>0</v>
      </c>
      <c r="J105" s="37">
        <f>'5 Afvanding'!I77</f>
        <v>0</v>
      </c>
      <c r="K105" s="37">
        <f>'5 Afvanding'!J77</f>
        <v>0</v>
      </c>
      <c r="L105" s="37">
        <f>'5 Afvanding'!K77</f>
        <v>0</v>
      </c>
      <c r="M105" s="37">
        <f>'5 Afvanding'!L77</f>
        <v>0</v>
      </c>
      <c r="N105" s="37">
        <f>'5 Afvanding'!M77</f>
        <v>0</v>
      </c>
      <c r="O105" s="37">
        <f>'5 Afvanding'!N77</f>
        <v>0</v>
      </c>
      <c r="P105" s="37">
        <f>'5 Afvanding'!O77</f>
        <v>0</v>
      </c>
      <c r="Q105" s="37">
        <f>'5 Afvanding'!P77</f>
        <v>0</v>
      </c>
      <c r="R105" s="37">
        <f>'5 Afvanding'!Q77</f>
        <v>0</v>
      </c>
      <c r="S105" s="37">
        <f>'5 Afvanding'!R77</f>
        <v>1</v>
      </c>
      <c r="T105" s="39">
        <f>'5 Afvanding'!S77</f>
        <v>63808</v>
      </c>
      <c r="U105" s="40">
        <f>'5 Afvanding'!T77</f>
        <v>63808</v>
      </c>
      <c r="V105" s="37" t="s">
        <v>98</v>
      </c>
      <c r="W105" s="37" t="s">
        <v>98</v>
      </c>
      <c r="X105" s="37" t="s">
        <v>98</v>
      </c>
    </row>
    <row r="106" spans="1:24" s="37" customFormat="1" x14ac:dyDescent="0.25">
      <c r="A106" s="37">
        <v>5</v>
      </c>
      <c r="B106" s="37" t="s">
        <v>297</v>
      </c>
      <c r="C106" s="37" t="s">
        <v>298</v>
      </c>
      <c r="D106" s="38" t="str">
        <f>'5 Afvanding'!C78</f>
        <v>SUM</v>
      </c>
      <c r="E106" s="37">
        <f>'5 Afvanding'!D78</f>
        <v>1</v>
      </c>
      <c r="F106" s="37">
        <f>'5 Afvanding'!E78</f>
        <v>0</v>
      </c>
      <c r="G106" s="37">
        <f>'5 Afvanding'!F78</f>
        <v>0</v>
      </c>
      <c r="H106" s="37">
        <f>'5 Afvanding'!G78</f>
        <v>0</v>
      </c>
      <c r="I106" s="37">
        <f>'5 Afvanding'!H78</f>
        <v>0</v>
      </c>
      <c r="J106" s="37">
        <f>'5 Afvanding'!I78</f>
        <v>0</v>
      </c>
      <c r="K106" s="37">
        <f>'5 Afvanding'!J78</f>
        <v>0</v>
      </c>
      <c r="L106" s="37">
        <f>'5 Afvanding'!K78</f>
        <v>0</v>
      </c>
      <c r="M106" s="37">
        <f>'5 Afvanding'!L78</f>
        <v>0</v>
      </c>
      <c r="N106" s="37">
        <f>'5 Afvanding'!M78</f>
        <v>0</v>
      </c>
      <c r="O106" s="37">
        <f>'5 Afvanding'!N78</f>
        <v>0</v>
      </c>
      <c r="P106" s="37">
        <f>'5 Afvanding'!O78</f>
        <v>0</v>
      </c>
      <c r="Q106" s="37">
        <f>'5 Afvanding'!P78</f>
        <v>0</v>
      </c>
      <c r="R106" s="37">
        <f>'5 Afvanding'!Q78</f>
        <v>0</v>
      </c>
      <c r="S106" s="37">
        <f>'5 Afvanding'!R78</f>
        <v>1</v>
      </c>
      <c r="T106" s="39">
        <f>'5 Afvanding'!S78</f>
        <v>20703</v>
      </c>
      <c r="U106" s="40">
        <f>'5 Afvanding'!T78</f>
        <v>20703</v>
      </c>
      <c r="V106" s="37" t="s">
        <v>98</v>
      </c>
      <c r="W106" s="37" t="s">
        <v>98</v>
      </c>
      <c r="X106" s="37" t="s">
        <v>98</v>
      </c>
    </row>
    <row r="107" spans="1:24" s="37" customFormat="1" x14ac:dyDescent="0.25">
      <c r="A107" s="37">
        <v>5</v>
      </c>
      <c r="B107" s="37" t="s">
        <v>299</v>
      </c>
      <c r="C107" s="37" t="s">
        <v>300</v>
      </c>
      <c r="D107" s="38" t="str">
        <f>'5 Afvanding'!C79</f>
        <v>M</v>
      </c>
      <c r="E107" s="37">
        <f>'5 Afvanding'!D79</f>
        <v>0</v>
      </c>
      <c r="F107" s="37">
        <f>'5 Afvanding'!E79</f>
        <v>0</v>
      </c>
      <c r="G107" s="37">
        <f>'5 Afvanding'!F79</f>
        <v>0</v>
      </c>
      <c r="H107" s="37">
        <f>'5 Afvanding'!G79</f>
        <v>0</v>
      </c>
      <c r="I107" s="37">
        <f>'5 Afvanding'!H79</f>
        <v>0</v>
      </c>
      <c r="J107" s="37">
        <f>'5 Afvanding'!I79</f>
        <v>63</v>
      </c>
      <c r="K107" s="37">
        <f>'5 Afvanding'!J79</f>
        <v>0</v>
      </c>
      <c r="L107" s="37">
        <f>'5 Afvanding'!K79</f>
        <v>0</v>
      </c>
      <c r="M107" s="37">
        <f>'5 Afvanding'!L79</f>
        <v>0</v>
      </c>
      <c r="N107" s="37">
        <f>'5 Afvanding'!M79</f>
        <v>0</v>
      </c>
      <c r="O107" s="37">
        <f>'5 Afvanding'!N79</f>
        <v>0</v>
      </c>
      <c r="P107" s="37">
        <f>'5 Afvanding'!O79</f>
        <v>0</v>
      </c>
      <c r="Q107" s="37">
        <f>'5 Afvanding'!P79</f>
        <v>0</v>
      </c>
      <c r="R107" s="37">
        <f>'5 Afvanding'!Q79</f>
        <v>0</v>
      </c>
      <c r="S107" s="37">
        <f>'5 Afvanding'!R79</f>
        <v>63</v>
      </c>
      <c r="T107" s="39">
        <f>'5 Afvanding'!S79</f>
        <v>23</v>
      </c>
      <c r="U107" s="40">
        <f>'5 Afvanding'!T79</f>
        <v>1449</v>
      </c>
      <c r="V107" s="37" t="s">
        <v>98</v>
      </c>
      <c r="W107" s="37" t="s">
        <v>98</v>
      </c>
      <c r="X107" s="37" t="s">
        <v>98</v>
      </c>
    </row>
    <row r="108" spans="1:24" s="32" customFormat="1" ht="15.75" x14ac:dyDescent="0.25">
      <c r="A108" s="32">
        <v>3</v>
      </c>
      <c r="B108" s="32" t="s">
        <v>38</v>
      </c>
      <c r="C108" s="32" t="s">
        <v>39</v>
      </c>
      <c r="D108" s="33" t="str">
        <f>'6 Kabelomlægning og føringsveje'!C2</f>
        <v/>
      </c>
      <c r="E108" s="32">
        <f>'6 Kabelomlægning og føringsveje'!D2</f>
        <v>0</v>
      </c>
      <c r="F108" s="32">
        <f>'6 Kabelomlægning og føringsveje'!E2</f>
        <v>0</v>
      </c>
      <c r="G108" s="32">
        <f>'6 Kabelomlægning og føringsveje'!F2</f>
        <v>0</v>
      </c>
      <c r="H108" s="32">
        <f>'6 Kabelomlægning og føringsveje'!G2</f>
        <v>0</v>
      </c>
      <c r="I108" s="32">
        <f>'6 Kabelomlægning og føringsveje'!H2</f>
        <v>0</v>
      </c>
      <c r="J108" s="32">
        <f>'6 Kabelomlægning og føringsveje'!I2</f>
        <v>0</v>
      </c>
      <c r="K108" s="32">
        <f>'6 Kabelomlægning og føringsveje'!J2</f>
        <v>0</v>
      </c>
      <c r="L108" s="32">
        <f>'6 Kabelomlægning og føringsveje'!K2</f>
        <v>0</v>
      </c>
      <c r="M108" s="32">
        <f>'6 Kabelomlægning og føringsveje'!L2</f>
        <v>0</v>
      </c>
      <c r="N108" s="32">
        <f>'6 Kabelomlægning og føringsveje'!M2</f>
        <v>0</v>
      </c>
      <c r="O108" s="32">
        <f>'6 Kabelomlægning og føringsveje'!N2</f>
        <v>0</v>
      </c>
      <c r="P108" s="32">
        <f>'6 Kabelomlægning og føringsveje'!O2</f>
        <v>0</v>
      </c>
      <c r="Q108" s="32">
        <f>'6 Kabelomlægning og føringsveje'!P2</f>
        <v>0</v>
      </c>
      <c r="R108" s="32">
        <f>'6 Kabelomlægning og føringsveje'!Q2</f>
        <v>0</v>
      </c>
      <c r="S108" s="32">
        <f>'6 Kabelomlægning og føringsveje'!R2</f>
        <v>0</v>
      </c>
      <c r="T108" s="34">
        <f>'6 Kabelomlægning og føringsveje'!S2</f>
        <v>0</v>
      </c>
      <c r="U108" s="35">
        <f>'6 Kabelomlægning og føringsveje'!T2</f>
        <v>0</v>
      </c>
      <c r="V108" s="32" t="s">
        <v>98</v>
      </c>
      <c r="W108" s="32" t="s">
        <v>98</v>
      </c>
      <c r="X108" s="32" t="s">
        <v>98</v>
      </c>
    </row>
    <row r="109" spans="1:24" s="36" customFormat="1" x14ac:dyDescent="0.25">
      <c r="A109" s="28">
        <v>4</v>
      </c>
      <c r="B109" s="28" t="s">
        <v>301</v>
      </c>
      <c r="C109" s="28" t="s">
        <v>302</v>
      </c>
      <c r="D109" s="50" t="str">
        <f>'6 Kabelomlægning og føringsveje'!C3</f>
        <v/>
      </c>
      <c r="E109" s="28">
        <f>'6 Kabelomlægning og føringsveje'!D3</f>
        <v>0</v>
      </c>
      <c r="F109" s="28">
        <f>'6 Kabelomlægning og føringsveje'!E3</f>
        <v>0</v>
      </c>
      <c r="G109" s="28">
        <f>'6 Kabelomlægning og føringsveje'!F3</f>
        <v>0</v>
      </c>
      <c r="H109" s="28">
        <f>'6 Kabelomlægning og føringsveje'!G3</f>
        <v>0</v>
      </c>
      <c r="I109" s="28">
        <f>'6 Kabelomlægning og føringsveje'!H3</f>
        <v>0</v>
      </c>
      <c r="J109" s="28">
        <f>'6 Kabelomlægning og føringsveje'!I3</f>
        <v>0</v>
      </c>
      <c r="K109" s="28">
        <f>'6 Kabelomlægning og føringsveje'!J3</f>
        <v>0</v>
      </c>
      <c r="L109" s="28">
        <f>'6 Kabelomlægning og føringsveje'!K3</f>
        <v>0</v>
      </c>
      <c r="M109" s="28">
        <f>'6 Kabelomlægning og føringsveje'!L3</f>
        <v>0</v>
      </c>
      <c r="N109" s="28">
        <f>'6 Kabelomlægning og føringsveje'!M3</f>
        <v>0</v>
      </c>
      <c r="O109" s="28">
        <f>'6 Kabelomlægning og føringsveje'!N3</f>
        <v>0</v>
      </c>
      <c r="P109" s="28">
        <f>'6 Kabelomlægning og føringsveje'!O3</f>
        <v>0</v>
      </c>
      <c r="Q109" s="28">
        <f>'6 Kabelomlægning og føringsveje'!P3</f>
        <v>0</v>
      </c>
      <c r="R109" s="28">
        <f>'6 Kabelomlægning og føringsveje'!Q3</f>
        <v>0</v>
      </c>
      <c r="S109" s="28">
        <f>'6 Kabelomlægning og føringsveje'!R3</f>
        <v>0</v>
      </c>
      <c r="T109" s="51">
        <f>'6 Kabelomlægning og føringsveje'!S3</f>
        <v>0</v>
      </c>
      <c r="U109" s="52">
        <f>'6 Kabelomlægning og føringsveje'!T3</f>
        <v>0</v>
      </c>
      <c r="V109" s="28" t="s">
        <v>98</v>
      </c>
      <c r="W109" s="28" t="s">
        <v>98</v>
      </c>
      <c r="X109" s="28" t="s">
        <v>98</v>
      </c>
    </row>
    <row r="110" spans="1:24" s="37" customFormat="1" x14ac:dyDescent="0.25">
      <c r="A110" s="37">
        <v>5</v>
      </c>
      <c r="B110" s="37" t="s">
        <v>303</v>
      </c>
      <c r="C110" s="37" t="s">
        <v>304</v>
      </c>
      <c r="D110" s="38" t="str">
        <f>'6 Kabelomlægning og føringsveje'!C4</f>
        <v>M</v>
      </c>
      <c r="E110" s="37">
        <f>'6 Kabelomlægning og føringsveje'!D4</f>
        <v>0</v>
      </c>
      <c r="F110" s="37">
        <f>'6 Kabelomlægning og føringsveje'!E4</f>
        <v>435</v>
      </c>
      <c r="G110" s="37">
        <f>'6 Kabelomlægning og føringsveje'!F4</f>
        <v>0</v>
      </c>
      <c r="H110" s="37">
        <f>'6 Kabelomlægning og føringsveje'!G4</f>
        <v>20</v>
      </c>
      <c r="I110" s="37">
        <f>'6 Kabelomlægning og føringsveje'!H4</f>
        <v>0</v>
      </c>
      <c r="J110" s="37">
        <f>'6 Kabelomlægning og føringsveje'!I4</f>
        <v>35</v>
      </c>
      <c r="K110" s="37">
        <f>'6 Kabelomlægning og føringsveje'!J4</f>
        <v>0</v>
      </c>
      <c r="L110" s="37">
        <f>'6 Kabelomlægning og føringsveje'!K4</f>
        <v>0</v>
      </c>
      <c r="M110" s="37">
        <f>'6 Kabelomlægning og føringsveje'!L4</f>
        <v>0</v>
      </c>
      <c r="N110" s="37">
        <f>'6 Kabelomlægning og føringsveje'!M4</f>
        <v>0</v>
      </c>
      <c r="O110" s="37">
        <f>'6 Kabelomlægning og føringsveje'!N4</f>
        <v>0</v>
      </c>
      <c r="P110" s="37">
        <f>'6 Kabelomlægning og føringsveje'!O4</f>
        <v>0</v>
      </c>
      <c r="Q110" s="37">
        <f>'6 Kabelomlægning og føringsveje'!P4</f>
        <v>0</v>
      </c>
      <c r="R110" s="37">
        <f>'6 Kabelomlægning og føringsveje'!Q4</f>
        <v>0</v>
      </c>
      <c r="S110" s="37">
        <f>'6 Kabelomlægning og føringsveje'!R4</f>
        <v>490</v>
      </c>
      <c r="T110" s="39">
        <f>'6 Kabelomlægning og føringsveje'!S4</f>
        <v>256</v>
      </c>
      <c r="U110" s="40">
        <f>'6 Kabelomlægning og føringsveje'!T4</f>
        <v>125440</v>
      </c>
      <c r="V110" s="37" t="s">
        <v>98</v>
      </c>
      <c r="W110" s="37" t="s">
        <v>822</v>
      </c>
      <c r="X110" s="37" t="s">
        <v>98</v>
      </c>
    </row>
    <row r="111" spans="1:24" s="37" customFormat="1" x14ac:dyDescent="0.25">
      <c r="A111" s="37">
        <v>5</v>
      </c>
      <c r="B111" s="37" t="s">
        <v>305</v>
      </c>
      <c r="C111" s="37" t="s">
        <v>306</v>
      </c>
      <c r="D111" s="38" t="str">
        <f>'6 Kabelomlægning og føringsveje'!C5</f>
        <v/>
      </c>
      <c r="E111" s="37">
        <f>'6 Kabelomlægning og føringsveje'!D5</f>
        <v>0</v>
      </c>
      <c r="F111" s="37">
        <f>'6 Kabelomlægning og føringsveje'!E5</f>
        <v>0</v>
      </c>
      <c r="G111" s="37">
        <f>'6 Kabelomlægning og føringsveje'!F5</f>
        <v>0</v>
      </c>
      <c r="H111" s="37">
        <f>'6 Kabelomlægning og føringsveje'!G5</f>
        <v>0</v>
      </c>
      <c r="I111" s="37">
        <f>'6 Kabelomlægning og føringsveje'!H5</f>
        <v>0</v>
      </c>
      <c r="J111" s="37">
        <f>'6 Kabelomlægning og føringsveje'!I5</f>
        <v>0</v>
      </c>
      <c r="K111" s="37">
        <f>'6 Kabelomlægning og føringsveje'!J5</f>
        <v>0</v>
      </c>
      <c r="L111" s="37">
        <f>'6 Kabelomlægning og føringsveje'!K5</f>
        <v>0</v>
      </c>
      <c r="M111" s="37">
        <f>'6 Kabelomlægning og føringsveje'!L5</f>
        <v>0</v>
      </c>
      <c r="N111" s="37">
        <f>'6 Kabelomlægning og føringsveje'!M5</f>
        <v>0</v>
      </c>
      <c r="O111" s="37">
        <f>'6 Kabelomlægning og føringsveje'!N5</f>
        <v>0</v>
      </c>
      <c r="P111" s="37">
        <f>'6 Kabelomlægning og føringsveje'!O5</f>
        <v>0</v>
      </c>
      <c r="Q111" s="37">
        <f>'6 Kabelomlægning og føringsveje'!P5</f>
        <v>0</v>
      </c>
      <c r="R111" s="37">
        <f>'6 Kabelomlægning og føringsveje'!Q5</f>
        <v>0</v>
      </c>
      <c r="S111" s="37">
        <f>'6 Kabelomlægning og føringsveje'!R5</f>
        <v>0</v>
      </c>
      <c r="T111" s="39">
        <f>'6 Kabelomlægning og føringsveje'!S5</f>
        <v>0</v>
      </c>
      <c r="U111" s="40">
        <f>'6 Kabelomlægning og føringsveje'!T5</f>
        <v>0</v>
      </c>
      <c r="V111" s="37" t="s">
        <v>98</v>
      </c>
      <c r="W111" s="37" t="s">
        <v>98</v>
      </c>
      <c r="X111" s="37" t="s">
        <v>98</v>
      </c>
    </row>
    <row r="112" spans="1:24" s="37" customFormat="1" x14ac:dyDescent="0.25">
      <c r="A112" s="37">
        <v>6</v>
      </c>
      <c r="B112" s="37" t="s">
        <v>307</v>
      </c>
      <c r="C112" s="37" t="s">
        <v>308</v>
      </c>
      <c r="D112" s="38" t="str">
        <f>'6 Kabelomlægning og føringsveje'!C6</f>
        <v>M</v>
      </c>
      <c r="E112" s="37">
        <f>'6 Kabelomlægning og føringsveje'!D6</f>
        <v>0</v>
      </c>
      <c r="F112" s="37">
        <f>'6 Kabelomlægning og føringsveje'!E6</f>
        <v>480</v>
      </c>
      <c r="G112" s="37">
        <f>'6 Kabelomlægning og føringsveje'!F6</f>
        <v>0</v>
      </c>
      <c r="H112" s="37">
        <f>'6 Kabelomlægning og føringsveje'!G6</f>
        <v>9140</v>
      </c>
      <c r="I112" s="37">
        <f>'6 Kabelomlægning og føringsveje'!H6</f>
        <v>0</v>
      </c>
      <c r="J112" s="37">
        <f>'6 Kabelomlægning og føringsveje'!I6</f>
        <v>0</v>
      </c>
      <c r="K112" s="37">
        <f>'6 Kabelomlægning og føringsveje'!J6</f>
        <v>0</v>
      </c>
      <c r="L112" s="37">
        <f>'6 Kabelomlægning og føringsveje'!K6</f>
        <v>0</v>
      </c>
      <c r="M112" s="37">
        <f>'6 Kabelomlægning og føringsveje'!L6</f>
        <v>0</v>
      </c>
      <c r="N112" s="37">
        <f>'6 Kabelomlægning og føringsveje'!M6</f>
        <v>0</v>
      </c>
      <c r="O112" s="37">
        <f>'6 Kabelomlægning og føringsveje'!N6</f>
        <v>0</v>
      </c>
      <c r="P112" s="37">
        <f>'6 Kabelomlægning og føringsveje'!O6</f>
        <v>0</v>
      </c>
      <c r="Q112" s="37">
        <f>'6 Kabelomlægning og føringsveje'!P6</f>
        <v>0</v>
      </c>
      <c r="R112" s="37">
        <f>'6 Kabelomlægning og føringsveje'!Q6</f>
        <v>0</v>
      </c>
      <c r="S112" s="37">
        <f>'6 Kabelomlægning og føringsveje'!R6</f>
        <v>9620</v>
      </c>
      <c r="T112" s="39">
        <f>'6 Kabelomlægning og føringsveje'!S6</f>
        <v>118</v>
      </c>
      <c r="U112" s="40">
        <f>'6 Kabelomlægning og føringsveje'!T6</f>
        <v>1135160</v>
      </c>
      <c r="V112" s="37" t="s">
        <v>98</v>
      </c>
      <c r="W112" s="37" t="s">
        <v>822</v>
      </c>
      <c r="X112" s="37" t="s">
        <v>98</v>
      </c>
    </row>
    <row r="113" spans="1:24" s="37" customFormat="1" x14ac:dyDescent="0.25">
      <c r="A113" s="37">
        <v>5</v>
      </c>
      <c r="B113" s="37" t="s">
        <v>309</v>
      </c>
      <c r="C113" s="37" t="s">
        <v>310</v>
      </c>
      <c r="D113" s="38" t="str">
        <f>'6 Kabelomlægning og føringsveje'!C7</f>
        <v>M</v>
      </c>
      <c r="E113" s="37">
        <f>'6 Kabelomlægning og føringsveje'!D7</f>
        <v>0</v>
      </c>
      <c r="F113" s="37">
        <f>'6 Kabelomlægning og føringsveje'!E7</f>
        <v>0</v>
      </c>
      <c r="G113" s="37">
        <f>'6 Kabelomlægning og føringsveje'!F7</f>
        <v>0</v>
      </c>
      <c r="H113" s="37">
        <f>'6 Kabelomlægning og føringsveje'!G7</f>
        <v>0</v>
      </c>
      <c r="I113" s="37">
        <f>'6 Kabelomlægning og føringsveje'!H7</f>
        <v>0</v>
      </c>
      <c r="J113" s="37">
        <f>'6 Kabelomlægning og føringsveje'!I7</f>
        <v>0</v>
      </c>
      <c r="K113" s="37">
        <f>'6 Kabelomlægning og føringsveje'!J7</f>
        <v>0</v>
      </c>
      <c r="L113" s="37">
        <f>'6 Kabelomlægning og føringsveje'!K7</f>
        <v>0</v>
      </c>
      <c r="M113" s="37">
        <f>'6 Kabelomlægning og føringsveje'!L7</f>
        <v>0</v>
      </c>
      <c r="N113" s="37">
        <f>'6 Kabelomlægning og føringsveje'!M7</f>
        <v>435</v>
      </c>
      <c r="O113" s="37">
        <f>'6 Kabelomlægning og føringsveje'!N7</f>
        <v>0</v>
      </c>
      <c r="P113" s="37">
        <f>'6 Kabelomlægning og føringsveje'!O7</f>
        <v>0</v>
      </c>
      <c r="Q113" s="37">
        <f>'6 Kabelomlægning og føringsveje'!P7</f>
        <v>0</v>
      </c>
      <c r="R113" s="37">
        <f>'6 Kabelomlægning og føringsveje'!Q7</f>
        <v>55</v>
      </c>
      <c r="S113" s="37">
        <f>'6 Kabelomlægning og føringsveje'!R7</f>
        <v>490</v>
      </c>
      <c r="T113" s="39">
        <f>'6 Kabelomlægning og føringsveje'!S7</f>
        <v>1484</v>
      </c>
      <c r="U113" s="40">
        <f>'6 Kabelomlægning og føringsveje'!T7</f>
        <v>727160</v>
      </c>
      <c r="V113" s="37" t="s">
        <v>98</v>
      </c>
      <c r="W113" s="37" t="s">
        <v>822</v>
      </c>
      <c r="X113" s="37" t="s">
        <v>98</v>
      </c>
    </row>
    <row r="114" spans="1:24" s="37" customFormat="1" x14ac:dyDescent="0.25">
      <c r="A114" s="37">
        <v>5</v>
      </c>
      <c r="B114" s="37" t="s">
        <v>311</v>
      </c>
      <c r="C114" s="37" t="s">
        <v>312</v>
      </c>
      <c r="D114" s="38" t="str">
        <f>'6 Kabelomlægning og føringsveje'!C8</f>
        <v/>
      </c>
      <c r="E114" s="37">
        <f>'6 Kabelomlægning og føringsveje'!D8</f>
        <v>0</v>
      </c>
      <c r="F114" s="37">
        <f>'6 Kabelomlægning og føringsveje'!E8</f>
        <v>0</v>
      </c>
      <c r="G114" s="37">
        <f>'6 Kabelomlægning og føringsveje'!F8</f>
        <v>0</v>
      </c>
      <c r="H114" s="37">
        <f>'6 Kabelomlægning og føringsveje'!G8</f>
        <v>0</v>
      </c>
      <c r="I114" s="37">
        <f>'6 Kabelomlægning og føringsveje'!H8</f>
        <v>0</v>
      </c>
      <c r="J114" s="37">
        <f>'6 Kabelomlægning og føringsveje'!I8</f>
        <v>0</v>
      </c>
      <c r="K114" s="37">
        <f>'6 Kabelomlægning og føringsveje'!J8</f>
        <v>0</v>
      </c>
      <c r="L114" s="37">
        <f>'6 Kabelomlægning og føringsveje'!K8</f>
        <v>0</v>
      </c>
      <c r="M114" s="37">
        <f>'6 Kabelomlægning og føringsveje'!L8</f>
        <v>0</v>
      </c>
      <c r="N114" s="37">
        <f>'6 Kabelomlægning og føringsveje'!M8</f>
        <v>0</v>
      </c>
      <c r="O114" s="37">
        <f>'6 Kabelomlægning og føringsveje'!N8</f>
        <v>0</v>
      </c>
      <c r="P114" s="37">
        <f>'6 Kabelomlægning og føringsveje'!O8</f>
        <v>0</v>
      </c>
      <c r="Q114" s="37">
        <f>'6 Kabelomlægning og føringsveje'!P8</f>
        <v>0</v>
      </c>
      <c r="R114" s="37">
        <f>'6 Kabelomlægning og føringsveje'!Q8</f>
        <v>0</v>
      </c>
      <c r="S114" s="37">
        <f>'6 Kabelomlægning og føringsveje'!R8</f>
        <v>0</v>
      </c>
      <c r="T114" s="39">
        <f>'6 Kabelomlægning og føringsveje'!S8</f>
        <v>0</v>
      </c>
      <c r="U114" s="40">
        <f>'6 Kabelomlægning og føringsveje'!T8</f>
        <v>0</v>
      </c>
      <c r="V114" s="37" t="s">
        <v>98</v>
      </c>
      <c r="W114" s="37" t="s">
        <v>98</v>
      </c>
      <c r="X114" s="37" t="s">
        <v>98</v>
      </c>
    </row>
    <row r="115" spans="1:24" s="37" customFormat="1" x14ac:dyDescent="0.25">
      <c r="A115" s="37">
        <v>6</v>
      </c>
      <c r="B115" s="37" t="s">
        <v>313</v>
      </c>
      <c r="C115" s="37" t="s">
        <v>308</v>
      </c>
      <c r="D115" s="38" t="str">
        <f>'6 Kabelomlægning og føringsveje'!C9</f>
        <v>M</v>
      </c>
      <c r="E115" s="37">
        <f>'6 Kabelomlægning og føringsveje'!D9</f>
        <v>0</v>
      </c>
      <c r="F115" s="37">
        <f>'6 Kabelomlægning og føringsveje'!E9</f>
        <v>0</v>
      </c>
      <c r="G115" s="37">
        <f>'6 Kabelomlægning og føringsveje'!F9</f>
        <v>0</v>
      </c>
      <c r="H115" s="37">
        <f>'6 Kabelomlægning og føringsveje'!G9</f>
        <v>0</v>
      </c>
      <c r="I115" s="37">
        <f>'6 Kabelomlægning og føringsveje'!H9</f>
        <v>0</v>
      </c>
      <c r="J115" s="37">
        <f>'6 Kabelomlægning og føringsveje'!I9</f>
        <v>0</v>
      </c>
      <c r="K115" s="37">
        <f>'6 Kabelomlægning og føringsveje'!J9</f>
        <v>0</v>
      </c>
      <c r="L115" s="37">
        <f>'6 Kabelomlægning og føringsveje'!K9</f>
        <v>0</v>
      </c>
      <c r="M115" s="37">
        <f>'6 Kabelomlægning og føringsveje'!L9</f>
        <v>0</v>
      </c>
      <c r="N115" s="37">
        <f>'6 Kabelomlægning og føringsveje'!M9</f>
        <v>82</v>
      </c>
      <c r="O115" s="37">
        <f>'6 Kabelomlægning og føringsveje'!N9</f>
        <v>0</v>
      </c>
      <c r="P115" s="37">
        <f>'6 Kabelomlægning og føringsveje'!O9</f>
        <v>0</v>
      </c>
      <c r="Q115" s="37">
        <f>'6 Kabelomlægning og føringsveje'!P9</f>
        <v>0</v>
      </c>
      <c r="R115" s="37">
        <f>'6 Kabelomlægning og føringsveje'!Q9</f>
        <v>1960</v>
      </c>
      <c r="S115" s="37">
        <f>'6 Kabelomlægning og føringsveje'!R9</f>
        <v>2042</v>
      </c>
      <c r="T115" s="39">
        <f>'6 Kabelomlægning og føringsveje'!S9</f>
        <v>106</v>
      </c>
      <c r="U115" s="40">
        <f>'6 Kabelomlægning og føringsveje'!T9</f>
        <v>216452</v>
      </c>
      <c r="V115" s="37" t="s">
        <v>98</v>
      </c>
      <c r="W115" s="37" t="s">
        <v>822</v>
      </c>
      <c r="X115" s="37" t="s">
        <v>98</v>
      </c>
    </row>
    <row r="116" spans="1:24" s="36" customFormat="1" x14ac:dyDescent="0.25">
      <c r="A116" s="28">
        <v>4</v>
      </c>
      <c r="B116" s="28" t="s">
        <v>314</v>
      </c>
      <c r="C116" s="28" t="s">
        <v>315</v>
      </c>
      <c r="D116" s="50" t="str">
        <f>'6 Kabelomlægning og føringsveje'!C10</f>
        <v/>
      </c>
      <c r="E116" s="28">
        <f>'6 Kabelomlægning og føringsveje'!D10</f>
        <v>0</v>
      </c>
      <c r="F116" s="28">
        <f>'6 Kabelomlægning og føringsveje'!E10</f>
        <v>0</v>
      </c>
      <c r="G116" s="28">
        <f>'6 Kabelomlægning og føringsveje'!F10</f>
        <v>0</v>
      </c>
      <c r="H116" s="28">
        <f>'6 Kabelomlægning og føringsveje'!G10</f>
        <v>0</v>
      </c>
      <c r="I116" s="28">
        <f>'6 Kabelomlægning og føringsveje'!H10</f>
        <v>0</v>
      </c>
      <c r="J116" s="28">
        <f>'6 Kabelomlægning og føringsveje'!I10</f>
        <v>0</v>
      </c>
      <c r="K116" s="28">
        <f>'6 Kabelomlægning og føringsveje'!J10</f>
        <v>0</v>
      </c>
      <c r="L116" s="28">
        <f>'6 Kabelomlægning og føringsveje'!K10</f>
        <v>0</v>
      </c>
      <c r="M116" s="28">
        <f>'6 Kabelomlægning og føringsveje'!L10</f>
        <v>0</v>
      </c>
      <c r="N116" s="28">
        <f>'6 Kabelomlægning og føringsveje'!M10</f>
        <v>0</v>
      </c>
      <c r="O116" s="28">
        <f>'6 Kabelomlægning og føringsveje'!N10</f>
        <v>0</v>
      </c>
      <c r="P116" s="28">
        <f>'6 Kabelomlægning og føringsveje'!O10</f>
        <v>0</v>
      </c>
      <c r="Q116" s="28">
        <f>'6 Kabelomlægning og føringsveje'!P10</f>
        <v>0</v>
      </c>
      <c r="R116" s="28">
        <f>'6 Kabelomlægning og føringsveje'!Q10</f>
        <v>0</v>
      </c>
      <c r="S116" s="28">
        <f>'6 Kabelomlægning og føringsveje'!R10</f>
        <v>0</v>
      </c>
      <c r="T116" s="51">
        <f>'6 Kabelomlægning og føringsveje'!S10</f>
        <v>0</v>
      </c>
      <c r="U116" s="52">
        <f>'6 Kabelomlægning og føringsveje'!T10</f>
        <v>0</v>
      </c>
      <c r="V116" s="28" t="s">
        <v>98</v>
      </c>
      <c r="W116" s="28" t="s">
        <v>98</v>
      </c>
      <c r="X116" s="28" t="s">
        <v>98</v>
      </c>
    </row>
    <row r="117" spans="1:24" s="37" customFormat="1" x14ac:dyDescent="0.25">
      <c r="A117" s="37">
        <v>5</v>
      </c>
      <c r="B117" s="37" t="s">
        <v>316</v>
      </c>
      <c r="C117" s="37" t="s">
        <v>317</v>
      </c>
      <c r="D117" s="38" t="str">
        <f>'6 Kabelomlægning og føringsveje'!C11</f>
        <v/>
      </c>
      <c r="E117" s="37">
        <f>'6 Kabelomlægning og føringsveje'!D11</f>
        <v>0</v>
      </c>
      <c r="F117" s="37">
        <f>'6 Kabelomlægning og føringsveje'!E11</f>
        <v>0</v>
      </c>
      <c r="G117" s="37">
        <f>'6 Kabelomlægning og føringsveje'!F11</f>
        <v>0</v>
      </c>
      <c r="H117" s="37">
        <f>'6 Kabelomlægning og føringsveje'!G11</f>
        <v>0</v>
      </c>
      <c r="I117" s="37">
        <f>'6 Kabelomlægning og føringsveje'!H11</f>
        <v>0</v>
      </c>
      <c r="J117" s="37">
        <f>'6 Kabelomlægning og føringsveje'!I11</f>
        <v>0</v>
      </c>
      <c r="K117" s="37">
        <f>'6 Kabelomlægning og føringsveje'!J11</f>
        <v>0</v>
      </c>
      <c r="L117" s="37">
        <f>'6 Kabelomlægning og føringsveje'!K11</f>
        <v>0</v>
      </c>
      <c r="M117" s="37">
        <f>'6 Kabelomlægning og føringsveje'!L11</f>
        <v>0</v>
      </c>
      <c r="N117" s="37">
        <f>'6 Kabelomlægning og føringsveje'!M11</f>
        <v>0</v>
      </c>
      <c r="O117" s="37">
        <f>'6 Kabelomlægning og føringsveje'!N11</f>
        <v>0</v>
      </c>
      <c r="P117" s="37">
        <f>'6 Kabelomlægning og føringsveje'!O11</f>
        <v>0</v>
      </c>
      <c r="Q117" s="37">
        <f>'6 Kabelomlægning og føringsveje'!P11</f>
        <v>0</v>
      </c>
      <c r="R117" s="37">
        <f>'6 Kabelomlægning og føringsveje'!Q11</f>
        <v>0</v>
      </c>
      <c r="S117" s="37">
        <f>'6 Kabelomlægning og føringsveje'!R11</f>
        <v>0</v>
      </c>
      <c r="T117" s="39">
        <f>'6 Kabelomlægning og føringsveje'!S11</f>
        <v>0</v>
      </c>
      <c r="U117" s="40">
        <f>'6 Kabelomlægning og føringsveje'!T11</f>
        <v>0</v>
      </c>
      <c r="V117" s="37" t="s">
        <v>98</v>
      </c>
      <c r="W117" s="37" t="s">
        <v>98</v>
      </c>
      <c r="X117" s="37" t="s">
        <v>98</v>
      </c>
    </row>
    <row r="118" spans="1:24" s="37" customFormat="1" x14ac:dyDescent="0.25">
      <c r="A118" s="37">
        <v>6</v>
      </c>
      <c r="B118" s="37" t="s">
        <v>318</v>
      </c>
      <c r="C118" s="37" t="s">
        <v>319</v>
      </c>
      <c r="D118" s="38" t="str">
        <f>'6 Kabelomlægning og føringsveje'!C12</f>
        <v>M</v>
      </c>
      <c r="E118" s="37">
        <f>'6 Kabelomlægning og føringsveje'!D12</f>
        <v>0</v>
      </c>
      <c r="F118" s="37">
        <f>'6 Kabelomlægning og føringsveje'!E12</f>
        <v>480</v>
      </c>
      <c r="G118" s="37">
        <f>'6 Kabelomlægning og føringsveje'!F12</f>
        <v>0</v>
      </c>
      <c r="H118" s="37">
        <f>'6 Kabelomlægning og føringsveje'!G12</f>
        <v>9140</v>
      </c>
      <c r="I118" s="37">
        <f>'6 Kabelomlægning og føringsveje'!H12</f>
        <v>0</v>
      </c>
      <c r="J118" s="37">
        <f>'6 Kabelomlægning og føringsveje'!I12</f>
        <v>0</v>
      </c>
      <c r="K118" s="37">
        <f>'6 Kabelomlægning og føringsveje'!J12</f>
        <v>0</v>
      </c>
      <c r="L118" s="37">
        <f>'6 Kabelomlægning og føringsveje'!K12</f>
        <v>0</v>
      </c>
      <c r="M118" s="37">
        <f>'6 Kabelomlægning og føringsveje'!L12</f>
        <v>0</v>
      </c>
      <c r="N118" s="37">
        <f>'6 Kabelomlægning og føringsveje'!M12</f>
        <v>0</v>
      </c>
      <c r="O118" s="37">
        <f>'6 Kabelomlægning og føringsveje'!N12</f>
        <v>0</v>
      </c>
      <c r="P118" s="37">
        <f>'6 Kabelomlægning og føringsveje'!O12</f>
        <v>0</v>
      </c>
      <c r="Q118" s="37">
        <f>'6 Kabelomlægning og føringsveje'!P12</f>
        <v>0</v>
      </c>
      <c r="R118" s="37">
        <f>'6 Kabelomlægning og føringsveje'!Q12</f>
        <v>0</v>
      </c>
      <c r="S118" s="37">
        <f>'6 Kabelomlægning og føringsveje'!R12</f>
        <v>9620</v>
      </c>
      <c r="T118" s="39">
        <f>'6 Kabelomlægning og føringsveje'!S12</f>
        <v>44</v>
      </c>
      <c r="U118" s="40">
        <f>'6 Kabelomlægning og føringsveje'!T12</f>
        <v>423280</v>
      </c>
      <c r="V118" s="37" t="s">
        <v>98</v>
      </c>
      <c r="W118" s="37" t="s">
        <v>822</v>
      </c>
      <c r="X118" s="37" t="s">
        <v>98</v>
      </c>
    </row>
    <row r="119" spans="1:24" s="36" customFormat="1" x14ac:dyDescent="0.25">
      <c r="A119" s="28">
        <v>4</v>
      </c>
      <c r="B119" s="28" t="s">
        <v>320</v>
      </c>
      <c r="C119" s="28" t="s">
        <v>321</v>
      </c>
      <c r="D119" s="50" t="str">
        <f>'6 Kabelomlægning og føringsveje'!C13</f>
        <v/>
      </c>
      <c r="E119" s="28">
        <f>'6 Kabelomlægning og føringsveje'!D13</f>
        <v>0</v>
      </c>
      <c r="F119" s="28">
        <f>'6 Kabelomlægning og føringsveje'!E13</f>
        <v>0</v>
      </c>
      <c r="G119" s="28">
        <f>'6 Kabelomlægning og føringsveje'!F13</f>
        <v>0</v>
      </c>
      <c r="H119" s="28">
        <f>'6 Kabelomlægning og føringsveje'!G13</f>
        <v>0</v>
      </c>
      <c r="I119" s="28">
        <f>'6 Kabelomlægning og føringsveje'!H13</f>
        <v>0</v>
      </c>
      <c r="J119" s="28">
        <f>'6 Kabelomlægning og føringsveje'!I13</f>
        <v>0</v>
      </c>
      <c r="K119" s="28">
        <f>'6 Kabelomlægning og føringsveje'!J13</f>
        <v>0</v>
      </c>
      <c r="L119" s="28">
        <f>'6 Kabelomlægning og føringsveje'!K13</f>
        <v>0</v>
      </c>
      <c r="M119" s="28">
        <f>'6 Kabelomlægning og føringsveje'!L13</f>
        <v>0</v>
      </c>
      <c r="N119" s="28">
        <f>'6 Kabelomlægning og føringsveje'!M13</f>
        <v>0</v>
      </c>
      <c r="O119" s="28">
        <f>'6 Kabelomlægning og føringsveje'!N13</f>
        <v>0</v>
      </c>
      <c r="P119" s="28">
        <f>'6 Kabelomlægning og føringsveje'!O13</f>
        <v>0</v>
      </c>
      <c r="Q119" s="28">
        <f>'6 Kabelomlægning og føringsveje'!P13</f>
        <v>0</v>
      </c>
      <c r="R119" s="28">
        <f>'6 Kabelomlægning og føringsveje'!Q13</f>
        <v>0</v>
      </c>
      <c r="S119" s="28">
        <f>'6 Kabelomlægning og føringsveje'!R13</f>
        <v>0</v>
      </c>
      <c r="T119" s="51">
        <f>'6 Kabelomlægning og føringsveje'!S13</f>
        <v>0</v>
      </c>
      <c r="U119" s="52">
        <f>'6 Kabelomlægning og føringsveje'!T13</f>
        <v>0</v>
      </c>
      <c r="V119" s="28" t="s">
        <v>98</v>
      </c>
      <c r="W119" s="28" t="s">
        <v>98</v>
      </c>
      <c r="X119" s="28" t="s">
        <v>98</v>
      </c>
    </row>
    <row r="120" spans="1:24" s="37" customFormat="1" x14ac:dyDescent="0.25">
      <c r="A120" s="37">
        <v>5</v>
      </c>
      <c r="B120" s="37" t="s">
        <v>322</v>
      </c>
      <c r="C120" s="37" t="s">
        <v>323</v>
      </c>
      <c r="D120" s="38" t="str">
        <f>'6 Kabelomlægning og føringsveje'!C14</f>
        <v/>
      </c>
      <c r="E120" s="37">
        <f>'6 Kabelomlægning og føringsveje'!D14</f>
        <v>0</v>
      </c>
      <c r="F120" s="37">
        <f>'6 Kabelomlægning og føringsveje'!E14</f>
        <v>0</v>
      </c>
      <c r="G120" s="37">
        <f>'6 Kabelomlægning og føringsveje'!F14</f>
        <v>0</v>
      </c>
      <c r="H120" s="37">
        <f>'6 Kabelomlægning og føringsveje'!G14</f>
        <v>0</v>
      </c>
      <c r="I120" s="37">
        <f>'6 Kabelomlægning og føringsveje'!H14</f>
        <v>0</v>
      </c>
      <c r="J120" s="37">
        <f>'6 Kabelomlægning og føringsveje'!I14</f>
        <v>0</v>
      </c>
      <c r="K120" s="37">
        <f>'6 Kabelomlægning og føringsveje'!J14</f>
        <v>0</v>
      </c>
      <c r="L120" s="37">
        <f>'6 Kabelomlægning og føringsveje'!K14</f>
        <v>0</v>
      </c>
      <c r="M120" s="37">
        <f>'6 Kabelomlægning og føringsveje'!L14</f>
        <v>0</v>
      </c>
      <c r="N120" s="37">
        <f>'6 Kabelomlægning og føringsveje'!M14</f>
        <v>0</v>
      </c>
      <c r="O120" s="37">
        <f>'6 Kabelomlægning og føringsveje'!N14</f>
        <v>0</v>
      </c>
      <c r="P120" s="37">
        <f>'6 Kabelomlægning og føringsveje'!O14</f>
        <v>0</v>
      </c>
      <c r="Q120" s="37">
        <f>'6 Kabelomlægning og føringsveje'!P14</f>
        <v>0</v>
      </c>
      <c r="R120" s="37">
        <f>'6 Kabelomlægning og føringsveje'!Q14</f>
        <v>0</v>
      </c>
      <c r="S120" s="37">
        <f>'6 Kabelomlægning og føringsveje'!R14</f>
        <v>0</v>
      </c>
      <c r="T120" s="39">
        <f>'6 Kabelomlægning og føringsveje'!S14</f>
        <v>0</v>
      </c>
      <c r="U120" s="40">
        <f>'6 Kabelomlægning og føringsveje'!T14</f>
        <v>0</v>
      </c>
      <c r="V120" s="37" t="s">
        <v>98</v>
      </c>
      <c r="W120" s="37" t="s">
        <v>98</v>
      </c>
      <c r="X120" s="37" t="s">
        <v>98</v>
      </c>
    </row>
    <row r="121" spans="1:24" s="37" customFormat="1" x14ac:dyDescent="0.25">
      <c r="A121" s="37">
        <v>6</v>
      </c>
      <c r="B121" s="37" t="s">
        <v>324</v>
      </c>
      <c r="C121" s="37" t="s">
        <v>325</v>
      </c>
      <c r="D121" s="38" t="str">
        <f>'6 Kabelomlægning og føringsveje'!C15</f>
        <v>M</v>
      </c>
      <c r="E121" s="37">
        <f>'6 Kabelomlægning og føringsveje'!D15</f>
        <v>0</v>
      </c>
      <c r="F121" s="37">
        <f>'6 Kabelomlægning og føringsveje'!E15</f>
        <v>0</v>
      </c>
      <c r="G121" s="37">
        <f>'6 Kabelomlægning og føringsveje'!F15</f>
        <v>0</v>
      </c>
      <c r="H121" s="37">
        <f>'6 Kabelomlægning og føringsveje'!G15</f>
        <v>0</v>
      </c>
      <c r="I121" s="37">
        <f>'6 Kabelomlægning og føringsveje'!H15</f>
        <v>0</v>
      </c>
      <c r="J121" s="37">
        <f>'6 Kabelomlægning og føringsveje'!I15</f>
        <v>0</v>
      </c>
      <c r="K121" s="37">
        <f>'6 Kabelomlægning og føringsveje'!J15</f>
        <v>0</v>
      </c>
      <c r="L121" s="37">
        <f>'6 Kabelomlægning og føringsveje'!K15</f>
        <v>0</v>
      </c>
      <c r="M121" s="37">
        <f>'6 Kabelomlægning og føringsveje'!L15</f>
        <v>0</v>
      </c>
      <c r="N121" s="37">
        <f>'6 Kabelomlægning og føringsveje'!M15</f>
        <v>82</v>
      </c>
      <c r="O121" s="37">
        <f>'6 Kabelomlægning og føringsveje'!N15</f>
        <v>0</v>
      </c>
      <c r="P121" s="37">
        <f>'6 Kabelomlægning og føringsveje'!O15</f>
        <v>0</v>
      </c>
      <c r="Q121" s="37">
        <f>'6 Kabelomlægning og føringsveje'!P15</f>
        <v>0</v>
      </c>
      <c r="R121" s="37">
        <f>'6 Kabelomlægning og føringsveje'!Q15</f>
        <v>1960</v>
      </c>
      <c r="S121" s="37">
        <f>'6 Kabelomlægning og føringsveje'!R15</f>
        <v>2042</v>
      </c>
      <c r="T121" s="39">
        <f>'6 Kabelomlægning og føringsveje'!S15</f>
        <v>5</v>
      </c>
      <c r="U121" s="40">
        <f>'6 Kabelomlægning og føringsveje'!T15</f>
        <v>10210</v>
      </c>
      <c r="V121" s="37" t="s">
        <v>98</v>
      </c>
      <c r="W121" s="37" t="s">
        <v>62</v>
      </c>
      <c r="X121" s="37" t="s">
        <v>98</v>
      </c>
    </row>
    <row r="122" spans="1:24" s="37" customFormat="1" x14ac:dyDescent="0.25">
      <c r="A122" s="37">
        <v>5</v>
      </c>
      <c r="B122" s="37" t="s">
        <v>326</v>
      </c>
      <c r="C122" s="37" t="s">
        <v>327</v>
      </c>
      <c r="D122" s="38" t="str">
        <f>'6 Kabelomlægning og føringsveje'!C16</f>
        <v>M</v>
      </c>
      <c r="E122" s="37">
        <f>'6 Kabelomlægning og føringsveje'!D16</f>
        <v>0</v>
      </c>
      <c r="F122" s="37">
        <f>'6 Kabelomlægning og føringsveje'!E16</f>
        <v>0</v>
      </c>
      <c r="G122" s="37">
        <f>'6 Kabelomlægning og føringsveje'!F16</f>
        <v>0</v>
      </c>
      <c r="H122" s="37">
        <f>'6 Kabelomlægning og føringsveje'!G16</f>
        <v>0</v>
      </c>
      <c r="I122" s="37">
        <f>'6 Kabelomlægning og føringsveje'!H16</f>
        <v>0</v>
      </c>
      <c r="J122" s="37">
        <f>'6 Kabelomlægning og føringsveje'!I16</f>
        <v>0</v>
      </c>
      <c r="K122" s="37">
        <f>'6 Kabelomlægning og føringsveje'!J16</f>
        <v>0</v>
      </c>
      <c r="L122" s="37">
        <f>'6 Kabelomlægning og føringsveje'!K16</f>
        <v>0</v>
      </c>
      <c r="M122" s="37">
        <f>'6 Kabelomlægning og føringsveje'!L16</f>
        <v>0</v>
      </c>
      <c r="N122" s="37">
        <f>'6 Kabelomlægning og føringsveje'!M16</f>
        <v>0</v>
      </c>
      <c r="O122" s="37">
        <f>'6 Kabelomlægning og føringsveje'!N16</f>
        <v>0</v>
      </c>
      <c r="P122" s="37">
        <f>'6 Kabelomlægning og føringsveje'!O16</f>
        <v>0</v>
      </c>
      <c r="Q122" s="37">
        <f>'6 Kabelomlægning og føringsveje'!P16</f>
        <v>0</v>
      </c>
      <c r="R122" s="37">
        <f>'6 Kabelomlægning og føringsveje'!Q16</f>
        <v>4</v>
      </c>
      <c r="S122" s="37">
        <f>'6 Kabelomlægning og føringsveje'!R16</f>
        <v>4</v>
      </c>
      <c r="T122" s="39">
        <f>'6 Kabelomlægning og føringsveje'!S16</f>
        <v>559</v>
      </c>
      <c r="U122" s="40">
        <f>'6 Kabelomlægning og føringsveje'!T16</f>
        <v>2236</v>
      </c>
      <c r="V122" s="37" t="s">
        <v>98</v>
      </c>
      <c r="W122" s="37" t="s">
        <v>822</v>
      </c>
      <c r="X122" s="37" t="s">
        <v>98</v>
      </c>
    </row>
    <row r="123" spans="1:24" s="37" customFormat="1" x14ac:dyDescent="0.25">
      <c r="A123" s="37">
        <v>5</v>
      </c>
      <c r="B123" s="37" t="s">
        <v>328</v>
      </c>
      <c r="C123" s="37" t="s">
        <v>329</v>
      </c>
      <c r="D123" s="38" t="str">
        <f>'6 Kabelomlægning og føringsveje'!C17</f>
        <v/>
      </c>
      <c r="E123" s="37">
        <f>'6 Kabelomlægning og føringsveje'!D17</f>
        <v>0</v>
      </c>
      <c r="F123" s="37">
        <f>'6 Kabelomlægning og føringsveje'!E17</f>
        <v>0</v>
      </c>
      <c r="G123" s="37">
        <f>'6 Kabelomlægning og føringsveje'!F17</f>
        <v>0</v>
      </c>
      <c r="H123" s="37">
        <f>'6 Kabelomlægning og føringsveje'!G17</f>
        <v>0</v>
      </c>
      <c r="I123" s="37">
        <f>'6 Kabelomlægning og føringsveje'!H17</f>
        <v>0</v>
      </c>
      <c r="J123" s="37">
        <f>'6 Kabelomlægning og føringsveje'!I17</f>
        <v>0</v>
      </c>
      <c r="K123" s="37">
        <f>'6 Kabelomlægning og føringsveje'!J17</f>
        <v>0</v>
      </c>
      <c r="L123" s="37">
        <f>'6 Kabelomlægning og føringsveje'!K17</f>
        <v>0</v>
      </c>
      <c r="M123" s="37">
        <f>'6 Kabelomlægning og føringsveje'!L17</f>
        <v>0</v>
      </c>
      <c r="N123" s="37">
        <f>'6 Kabelomlægning og føringsveje'!M17</f>
        <v>0</v>
      </c>
      <c r="O123" s="37">
        <f>'6 Kabelomlægning og føringsveje'!N17</f>
        <v>0</v>
      </c>
      <c r="P123" s="37">
        <f>'6 Kabelomlægning og føringsveje'!O17</f>
        <v>0</v>
      </c>
      <c r="Q123" s="37">
        <f>'6 Kabelomlægning og føringsveje'!P17</f>
        <v>0</v>
      </c>
      <c r="R123" s="37">
        <f>'6 Kabelomlægning og føringsveje'!Q17</f>
        <v>0</v>
      </c>
      <c r="S123" s="37">
        <f>'6 Kabelomlægning og føringsveje'!R17</f>
        <v>0</v>
      </c>
      <c r="T123" s="39">
        <f>'6 Kabelomlægning og føringsveje'!S17</f>
        <v>0</v>
      </c>
      <c r="U123" s="40">
        <f>'6 Kabelomlægning og føringsveje'!T17</f>
        <v>0</v>
      </c>
      <c r="V123" s="37" t="s">
        <v>98</v>
      </c>
      <c r="W123" s="37" t="s">
        <v>98</v>
      </c>
      <c r="X123" s="37" t="s">
        <v>98</v>
      </c>
    </row>
    <row r="124" spans="1:24" s="37" customFormat="1" x14ac:dyDescent="0.25">
      <c r="A124" s="37">
        <v>6</v>
      </c>
      <c r="B124" s="37" t="s">
        <v>330</v>
      </c>
      <c r="C124" s="37" t="s">
        <v>325</v>
      </c>
      <c r="D124" s="38" t="str">
        <f>'6 Kabelomlægning og føringsveje'!C18</f>
        <v>M</v>
      </c>
      <c r="E124" s="37">
        <f>'6 Kabelomlægning og føringsveje'!D18</f>
        <v>0</v>
      </c>
      <c r="F124" s="37">
        <f>'6 Kabelomlægning og føringsveje'!E18</f>
        <v>0</v>
      </c>
      <c r="G124" s="37">
        <f>'6 Kabelomlægning og føringsveje'!F18</f>
        <v>0</v>
      </c>
      <c r="H124" s="37">
        <f>'6 Kabelomlægning og føringsveje'!G18</f>
        <v>0</v>
      </c>
      <c r="I124" s="37">
        <f>'6 Kabelomlægning og føringsveje'!H18</f>
        <v>0</v>
      </c>
      <c r="J124" s="37">
        <f>'6 Kabelomlægning og føringsveje'!I18</f>
        <v>0</v>
      </c>
      <c r="K124" s="37">
        <f>'6 Kabelomlægning og føringsveje'!J18</f>
        <v>0</v>
      </c>
      <c r="L124" s="37">
        <f>'6 Kabelomlægning og føringsveje'!K18</f>
        <v>0</v>
      </c>
      <c r="M124" s="37">
        <f>'6 Kabelomlægning og føringsveje'!L18</f>
        <v>0</v>
      </c>
      <c r="N124" s="37">
        <f>'6 Kabelomlægning og føringsveje'!M18</f>
        <v>82</v>
      </c>
      <c r="O124" s="37">
        <f>'6 Kabelomlægning og føringsveje'!N18</f>
        <v>0</v>
      </c>
      <c r="P124" s="37">
        <f>'6 Kabelomlægning og føringsveje'!O18</f>
        <v>0</v>
      </c>
      <c r="Q124" s="37">
        <f>'6 Kabelomlægning og føringsveje'!P18</f>
        <v>0</v>
      </c>
      <c r="R124" s="37">
        <f>'6 Kabelomlægning og føringsveje'!Q18</f>
        <v>1960</v>
      </c>
      <c r="S124" s="37">
        <f>'6 Kabelomlægning og føringsveje'!R18</f>
        <v>2042</v>
      </c>
      <c r="T124" s="39">
        <f>'6 Kabelomlægning og føringsveje'!S18</f>
        <v>230</v>
      </c>
      <c r="U124" s="40">
        <f>'6 Kabelomlægning og føringsveje'!T18</f>
        <v>469660</v>
      </c>
      <c r="V124" s="37" t="s">
        <v>98</v>
      </c>
      <c r="W124" s="37" t="s">
        <v>822</v>
      </c>
      <c r="X124" s="37" t="s">
        <v>98</v>
      </c>
    </row>
    <row r="125" spans="1:24" s="36" customFormat="1" x14ac:dyDescent="0.25">
      <c r="A125" s="28">
        <v>4</v>
      </c>
      <c r="B125" s="28" t="s">
        <v>331</v>
      </c>
      <c r="C125" s="28" t="s">
        <v>332</v>
      </c>
      <c r="D125" s="50" t="str">
        <f>'6 Kabelomlægning og føringsveje'!C19</f>
        <v/>
      </c>
      <c r="E125" s="28">
        <f>'6 Kabelomlægning og føringsveje'!D19</f>
        <v>0</v>
      </c>
      <c r="F125" s="28">
        <f>'6 Kabelomlægning og føringsveje'!E19</f>
        <v>0</v>
      </c>
      <c r="G125" s="28">
        <f>'6 Kabelomlægning og føringsveje'!F19</f>
        <v>0</v>
      </c>
      <c r="H125" s="28">
        <f>'6 Kabelomlægning og føringsveje'!G19</f>
        <v>0</v>
      </c>
      <c r="I125" s="28">
        <f>'6 Kabelomlægning og føringsveje'!H19</f>
        <v>0</v>
      </c>
      <c r="J125" s="28">
        <f>'6 Kabelomlægning og føringsveje'!I19</f>
        <v>0</v>
      </c>
      <c r="K125" s="28">
        <f>'6 Kabelomlægning og føringsveje'!J19</f>
        <v>0</v>
      </c>
      <c r="L125" s="28">
        <f>'6 Kabelomlægning og føringsveje'!K19</f>
        <v>0</v>
      </c>
      <c r="M125" s="28">
        <f>'6 Kabelomlægning og føringsveje'!L19</f>
        <v>0</v>
      </c>
      <c r="N125" s="28">
        <f>'6 Kabelomlægning og føringsveje'!M19</f>
        <v>0</v>
      </c>
      <c r="O125" s="28">
        <f>'6 Kabelomlægning og føringsveje'!N19</f>
        <v>0</v>
      </c>
      <c r="P125" s="28">
        <f>'6 Kabelomlægning og føringsveje'!O19</f>
        <v>0</v>
      </c>
      <c r="Q125" s="28">
        <f>'6 Kabelomlægning og føringsveje'!P19</f>
        <v>0</v>
      </c>
      <c r="R125" s="28">
        <f>'6 Kabelomlægning og føringsveje'!Q19</f>
        <v>0</v>
      </c>
      <c r="S125" s="28">
        <f>'6 Kabelomlægning og føringsveje'!R19</f>
        <v>0</v>
      </c>
      <c r="T125" s="51">
        <f>'6 Kabelomlægning og føringsveje'!S19</f>
        <v>0</v>
      </c>
      <c r="U125" s="52">
        <f>'6 Kabelomlægning og føringsveje'!T19</f>
        <v>0</v>
      </c>
      <c r="V125" s="28" t="s">
        <v>98</v>
      </c>
      <c r="W125" s="28" t="s">
        <v>98</v>
      </c>
      <c r="X125" s="28" t="s">
        <v>98</v>
      </c>
    </row>
    <row r="126" spans="1:24" s="37" customFormat="1" x14ac:dyDescent="0.25">
      <c r="A126" s="37">
        <v>5</v>
      </c>
      <c r="B126" s="37" t="s">
        <v>333</v>
      </c>
      <c r="C126" s="37" t="s">
        <v>334</v>
      </c>
      <c r="D126" s="38" t="str">
        <f>'6 Kabelomlægning og føringsveje'!C20</f>
        <v>M</v>
      </c>
      <c r="E126" s="37">
        <f>'6 Kabelomlægning og føringsveje'!D20</f>
        <v>0</v>
      </c>
      <c r="F126" s="37">
        <f>'6 Kabelomlægning og føringsveje'!E20</f>
        <v>0</v>
      </c>
      <c r="G126" s="37">
        <f>'6 Kabelomlægning og føringsveje'!F20</f>
        <v>0</v>
      </c>
      <c r="H126" s="37">
        <f>'6 Kabelomlægning og føringsveje'!G20</f>
        <v>0</v>
      </c>
      <c r="I126" s="37">
        <f>'6 Kabelomlægning og føringsveje'!H20</f>
        <v>0</v>
      </c>
      <c r="J126" s="37">
        <f>'6 Kabelomlægning og føringsveje'!I20</f>
        <v>0</v>
      </c>
      <c r="K126" s="37">
        <f>'6 Kabelomlægning og føringsveje'!J20</f>
        <v>0</v>
      </c>
      <c r="L126" s="37">
        <f>'6 Kabelomlægning og føringsveje'!K20</f>
        <v>0</v>
      </c>
      <c r="M126" s="37">
        <f>'6 Kabelomlægning og føringsveje'!L20</f>
        <v>0</v>
      </c>
      <c r="N126" s="37">
        <f>'6 Kabelomlægning og føringsveje'!M20</f>
        <v>398</v>
      </c>
      <c r="O126" s="37">
        <f>'6 Kabelomlægning og føringsveje'!N20</f>
        <v>0</v>
      </c>
      <c r="P126" s="37">
        <f>'6 Kabelomlægning og føringsveje'!O20</f>
        <v>0</v>
      </c>
      <c r="Q126" s="37">
        <f>'6 Kabelomlægning og føringsveje'!P20</f>
        <v>0</v>
      </c>
      <c r="R126" s="37">
        <f>'6 Kabelomlægning og føringsveje'!Q20</f>
        <v>7430</v>
      </c>
      <c r="S126" s="37">
        <f>'6 Kabelomlægning og føringsveje'!R20</f>
        <v>7828</v>
      </c>
      <c r="T126" s="39">
        <f>'6 Kabelomlægning og føringsveje'!S20</f>
        <v>363</v>
      </c>
      <c r="U126" s="40">
        <f>'6 Kabelomlægning og føringsveje'!T20</f>
        <v>2841564</v>
      </c>
      <c r="V126" s="37" t="s">
        <v>98</v>
      </c>
      <c r="W126" s="37" t="s">
        <v>822</v>
      </c>
      <c r="X126" s="37" t="s">
        <v>98</v>
      </c>
    </row>
    <row r="127" spans="1:24" s="32" customFormat="1" ht="15.75" x14ac:dyDescent="0.25">
      <c r="A127" s="32">
        <v>3</v>
      </c>
      <c r="B127" s="32" t="s">
        <v>40</v>
      </c>
      <c r="C127" s="32" t="s">
        <v>41</v>
      </c>
      <c r="D127" s="33" t="str">
        <f>'8 Perroner'!C2</f>
        <v/>
      </c>
      <c r="E127" s="32">
        <f>'8 Perroner'!D2</f>
        <v>0</v>
      </c>
      <c r="F127" s="32">
        <f>'8 Perroner'!E2</f>
        <v>0</v>
      </c>
      <c r="G127" s="32">
        <f>'8 Perroner'!F2</f>
        <v>0</v>
      </c>
      <c r="H127" s="32">
        <f>'8 Perroner'!G2</f>
        <v>0</v>
      </c>
      <c r="I127" s="32">
        <f>'8 Perroner'!H2</f>
        <v>0</v>
      </c>
      <c r="J127" s="32">
        <f>'8 Perroner'!I2</f>
        <v>0</v>
      </c>
      <c r="K127" s="32">
        <f>'8 Perroner'!J2</f>
        <v>0</v>
      </c>
      <c r="L127" s="32">
        <f>'8 Perroner'!K2</f>
        <v>0</v>
      </c>
      <c r="M127" s="32">
        <f>'8 Perroner'!L2</f>
        <v>0</v>
      </c>
      <c r="N127" s="32">
        <f>'8 Perroner'!M2</f>
        <v>0</v>
      </c>
      <c r="O127" s="32">
        <f>'8 Perroner'!N2</f>
        <v>0</v>
      </c>
      <c r="P127" s="32">
        <f>'8 Perroner'!O2</f>
        <v>0</v>
      </c>
      <c r="Q127" s="32">
        <f>'8 Perroner'!P2</f>
        <v>0</v>
      </c>
      <c r="R127" s="32">
        <f>'8 Perroner'!Q2</f>
        <v>0</v>
      </c>
      <c r="S127" s="32">
        <f>'8 Perroner'!R2</f>
        <v>0</v>
      </c>
      <c r="T127" s="34">
        <f>'8 Perroner'!S2</f>
        <v>0</v>
      </c>
      <c r="U127" s="35">
        <f>'8 Perroner'!T2</f>
        <v>0</v>
      </c>
      <c r="V127" s="32" t="s">
        <v>98</v>
      </c>
      <c r="W127" s="32" t="s">
        <v>98</v>
      </c>
      <c r="X127" s="32" t="s">
        <v>98</v>
      </c>
    </row>
    <row r="128" spans="1:24" s="36" customFormat="1" x14ac:dyDescent="0.25">
      <c r="A128" s="28">
        <v>4</v>
      </c>
      <c r="B128" s="28" t="s">
        <v>335</v>
      </c>
      <c r="C128" s="28" t="s">
        <v>336</v>
      </c>
      <c r="D128" s="50" t="str">
        <f>'8 Perroner'!C3</f>
        <v/>
      </c>
      <c r="E128" s="28">
        <f>'8 Perroner'!D3</f>
        <v>0</v>
      </c>
      <c r="F128" s="28">
        <f>'8 Perroner'!E3</f>
        <v>0</v>
      </c>
      <c r="G128" s="28">
        <f>'8 Perroner'!F3</f>
        <v>0</v>
      </c>
      <c r="H128" s="28">
        <f>'8 Perroner'!G3</f>
        <v>0</v>
      </c>
      <c r="I128" s="28">
        <f>'8 Perroner'!H3</f>
        <v>0</v>
      </c>
      <c r="J128" s="28">
        <f>'8 Perroner'!I3</f>
        <v>0</v>
      </c>
      <c r="K128" s="28">
        <f>'8 Perroner'!J3</f>
        <v>0</v>
      </c>
      <c r="L128" s="28">
        <f>'8 Perroner'!K3</f>
        <v>0</v>
      </c>
      <c r="M128" s="28">
        <f>'8 Perroner'!L3</f>
        <v>0</v>
      </c>
      <c r="N128" s="28">
        <f>'8 Perroner'!M3</f>
        <v>0</v>
      </c>
      <c r="O128" s="28">
        <f>'8 Perroner'!N3</f>
        <v>0</v>
      </c>
      <c r="P128" s="28">
        <f>'8 Perroner'!O3</f>
        <v>0</v>
      </c>
      <c r="Q128" s="28">
        <f>'8 Perroner'!P3</f>
        <v>0</v>
      </c>
      <c r="R128" s="28">
        <f>'8 Perroner'!Q3</f>
        <v>0</v>
      </c>
      <c r="S128" s="28">
        <f>'8 Perroner'!R3</f>
        <v>0</v>
      </c>
      <c r="T128" s="51">
        <f>'8 Perroner'!S3</f>
        <v>0</v>
      </c>
      <c r="U128" s="52">
        <f>'8 Perroner'!T3</f>
        <v>0</v>
      </c>
      <c r="V128" s="28" t="s">
        <v>98</v>
      </c>
      <c r="W128" s="28" t="s">
        <v>98</v>
      </c>
      <c r="X128" s="28" t="s">
        <v>98</v>
      </c>
    </row>
    <row r="129" spans="1:24" s="37" customFormat="1" x14ac:dyDescent="0.25">
      <c r="A129" s="37">
        <v>5</v>
      </c>
      <c r="B129" s="37" t="s">
        <v>337</v>
      </c>
      <c r="C129" s="37" t="s">
        <v>338</v>
      </c>
      <c r="D129" s="38" t="str">
        <f>'8 Perroner'!C4</f>
        <v>SUM</v>
      </c>
      <c r="E129" s="37">
        <f>'8 Perroner'!D4</f>
        <v>0</v>
      </c>
      <c r="F129" s="37">
        <f>'8 Perroner'!E4</f>
        <v>1</v>
      </c>
      <c r="G129" s="37">
        <f>'8 Perroner'!F4</f>
        <v>0</v>
      </c>
      <c r="H129" s="37">
        <f>'8 Perroner'!G4</f>
        <v>0</v>
      </c>
      <c r="I129" s="37">
        <f>'8 Perroner'!H4</f>
        <v>0</v>
      </c>
      <c r="J129" s="37">
        <f>'8 Perroner'!I4</f>
        <v>0</v>
      </c>
      <c r="K129" s="37">
        <f>'8 Perroner'!J4</f>
        <v>0</v>
      </c>
      <c r="L129" s="37">
        <f>'8 Perroner'!K4</f>
        <v>0</v>
      </c>
      <c r="M129" s="37">
        <f>'8 Perroner'!L4</f>
        <v>0</v>
      </c>
      <c r="N129" s="37">
        <f>'8 Perroner'!M4</f>
        <v>0</v>
      </c>
      <c r="O129" s="37">
        <f>'8 Perroner'!N4</f>
        <v>0</v>
      </c>
      <c r="P129" s="37">
        <f>'8 Perroner'!O4</f>
        <v>0</v>
      </c>
      <c r="Q129" s="37">
        <f>'8 Perroner'!P4</f>
        <v>0</v>
      </c>
      <c r="R129" s="37">
        <f>'8 Perroner'!Q4</f>
        <v>0</v>
      </c>
      <c r="S129" s="37">
        <f>'8 Perroner'!R4</f>
        <v>1</v>
      </c>
      <c r="T129" s="39">
        <f>'8 Perroner'!S4</f>
        <v>42225</v>
      </c>
      <c r="U129" s="40">
        <f>'8 Perroner'!T4</f>
        <v>42225</v>
      </c>
      <c r="V129" s="37" t="s">
        <v>98</v>
      </c>
      <c r="W129" s="37" t="s">
        <v>62</v>
      </c>
      <c r="X129" s="37" t="s">
        <v>98</v>
      </c>
    </row>
    <row r="130" spans="1:24" s="37" customFormat="1" x14ac:dyDescent="0.25">
      <c r="A130" s="37">
        <v>5</v>
      </c>
      <c r="B130" s="37" t="s">
        <v>339</v>
      </c>
      <c r="C130" s="37" t="s">
        <v>340</v>
      </c>
      <c r="D130" s="38" t="str">
        <f>'8 Perroner'!C5</f>
        <v>M2</v>
      </c>
      <c r="E130" s="37">
        <f>'8 Perroner'!D5</f>
        <v>0</v>
      </c>
      <c r="F130" s="37">
        <f>'8 Perroner'!E5</f>
        <v>701</v>
      </c>
      <c r="G130" s="37">
        <f>'8 Perroner'!F5</f>
        <v>0</v>
      </c>
      <c r="H130" s="37">
        <f>'8 Perroner'!G5</f>
        <v>0</v>
      </c>
      <c r="I130" s="37">
        <f>'8 Perroner'!H5</f>
        <v>0</v>
      </c>
      <c r="J130" s="37">
        <f>'8 Perroner'!I5</f>
        <v>0</v>
      </c>
      <c r="K130" s="37">
        <f>'8 Perroner'!J5</f>
        <v>0</v>
      </c>
      <c r="L130" s="37">
        <f>'8 Perroner'!K5</f>
        <v>0</v>
      </c>
      <c r="M130" s="37">
        <f>'8 Perroner'!L5</f>
        <v>0</v>
      </c>
      <c r="N130" s="37">
        <f>'8 Perroner'!M5</f>
        <v>0</v>
      </c>
      <c r="O130" s="37">
        <f>'8 Perroner'!N5</f>
        <v>0</v>
      </c>
      <c r="P130" s="37">
        <f>'8 Perroner'!O5</f>
        <v>0</v>
      </c>
      <c r="Q130" s="37">
        <f>'8 Perroner'!P5</f>
        <v>0</v>
      </c>
      <c r="R130" s="37">
        <f>'8 Perroner'!Q5</f>
        <v>0</v>
      </c>
      <c r="S130" s="37">
        <f>'8 Perroner'!R5</f>
        <v>701</v>
      </c>
      <c r="T130" s="39">
        <f>'8 Perroner'!S5</f>
        <v>889</v>
      </c>
      <c r="U130" s="40">
        <f>'8 Perroner'!T5</f>
        <v>623189</v>
      </c>
      <c r="V130" s="37" t="s">
        <v>98</v>
      </c>
      <c r="W130" s="37" t="s">
        <v>822</v>
      </c>
      <c r="X130" s="37" t="s">
        <v>98</v>
      </c>
    </row>
    <row r="131" spans="1:24" s="37" customFormat="1" x14ac:dyDescent="0.25">
      <c r="A131" s="37">
        <v>5</v>
      </c>
      <c r="B131" s="37" t="s">
        <v>341</v>
      </c>
      <c r="C131" s="37" t="s">
        <v>342</v>
      </c>
      <c r="D131" s="38" t="str">
        <f>'8 Perroner'!C6</f>
        <v>M</v>
      </c>
      <c r="E131" s="37">
        <f>'8 Perroner'!D6</f>
        <v>0</v>
      </c>
      <c r="F131" s="37">
        <f>'8 Perroner'!E6</f>
        <v>258</v>
      </c>
      <c r="G131" s="37">
        <f>'8 Perroner'!F6</f>
        <v>0</v>
      </c>
      <c r="H131" s="37">
        <f>'8 Perroner'!G6</f>
        <v>0</v>
      </c>
      <c r="I131" s="37">
        <f>'8 Perroner'!H6</f>
        <v>0</v>
      </c>
      <c r="J131" s="37">
        <f>'8 Perroner'!I6</f>
        <v>0</v>
      </c>
      <c r="K131" s="37">
        <f>'8 Perroner'!J6</f>
        <v>0</v>
      </c>
      <c r="L131" s="37">
        <f>'8 Perroner'!K6</f>
        <v>0</v>
      </c>
      <c r="M131" s="37">
        <f>'8 Perroner'!L6</f>
        <v>0</v>
      </c>
      <c r="N131" s="37">
        <f>'8 Perroner'!M6</f>
        <v>0</v>
      </c>
      <c r="O131" s="37">
        <f>'8 Perroner'!N6</f>
        <v>0</v>
      </c>
      <c r="P131" s="37">
        <f>'8 Perroner'!O6</f>
        <v>0</v>
      </c>
      <c r="Q131" s="37">
        <f>'8 Perroner'!P6</f>
        <v>0</v>
      </c>
      <c r="R131" s="37">
        <f>'8 Perroner'!Q6</f>
        <v>0</v>
      </c>
      <c r="S131" s="37">
        <f>'8 Perroner'!R6</f>
        <v>258</v>
      </c>
      <c r="T131" s="39">
        <f>'8 Perroner'!S6</f>
        <v>221</v>
      </c>
      <c r="U131" s="40">
        <f>'8 Perroner'!T6</f>
        <v>57018</v>
      </c>
      <c r="V131" s="37" t="s">
        <v>98</v>
      </c>
      <c r="W131" s="37" t="s">
        <v>822</v>
      </c>
      <c r="X131" s="37" t="s">
        <v>98</v>
      </c>
    </row>
    <row r="132" spans="1:24" s="37" customFormat="1" x14ac:dyDescent="0.25">
      <c r="A132" s="37">
        <v>5</v>
      </c>
      <c r="B132" s="37" t="s">
        <v>343</v>
      </c>
      <c r="C132" s="37" t="s">
        <v>344</v>
      </c>
      <c r="D132" s="38" t="str">
        <f>'8 Perroner'!C7</f>
        <v>STK</v>
      </c>
      <c r="E132" s="37">
        <f>'8 Perroner'!D7</f>
        <v>4</v>
      </c>
      <c r="F132" s="37">
        <f>'8 Perroner'!E7</f>
        <v>0</v>
      </c>
      <c r="G132" s="37">
        <f>'8 Perroner'!F7</f>
        <v>0</v>
      </c>
      <c r="H132" s="37">
        <f>'8 Perroner'!G7</f>
        <v>0</v>
      </c>
      <c r="I132" s="37">
        <f>'8 Perroner'!H7</f>
        <v>0</v>
      </c>
      <c r="J132" s="37">
        <f>'8 Perroner'!I7</f>
        <v>0</v>
      </c>
      <c r="K132" s="37">
        <f>'8 Perroner'!J7</f>
        <v>0</v>
      </c>
      <c r="L132" s="37">
        <f>'8 Perroner'!K7</f>
        <v>0</v>
      </c>
      <c r="M132" s="37">
        <f>'8 Perroner'!L7</f>
        <v>0</v>
      </c>
      <c r="N132" s="37">
        <f>'8 Perroner'!M7</f>
        <v>0</v>
      </c>
      <c r="O132" s="37">
        <f>'8 Perroner'!N7</f>
        <v>0</v>
      </c>
      <c r="P132" s="37">
        <f>'8 Perroner'!O7</f>
        <v>0</v>
      </c>
      <c r="Q132" s="37">
        <f>'8 Perroner'!P7</f>
        <v>0</v>
      </c>
      <c r="R132" s="37">
        <f>'8 Perroner'!Q7</f>
        <v>0</v>
      </c>
      <c r="S132" s="37">
        <f>'8 Perroner'!R7</f>
        <v>4</v>
      </c>
      <c r="T132" s="39">
        <f>'8 Perroner'!S7</f>
        <v>1190</v>
      </c>
      <c r="U132" s="40">
        <f>'8 Perroner'!T7</f>
        <v>4760</v>
      </c>
      <c r="V132" s="37" t="s">
        <v>98</v>
      </c>
      <c r="W132" s="37" t="s">
        <v>98</v>
      </c>
      <c r="X132" s="37" t="s">
        <v>98</v>
      </c>
    </row>
    <row r="133" spans="1:24" s="36" customFormat="1" x14ac:dyDescent="0.25">
      <c r="A133" s="28">
        <v>4</v>
      </c>
      <c r="B133" s="28" t="s">
        <v>345</v>
      </c>
      <c r="C133" s="28" t="s">
        <v>346</v>
      </c>
      <c r="D133" s="50" t="str">
        <f>'8 Perroner'!C8</f>
        <v/>
      </c>
      <c r="E133" s="28">
        <f>'8 Perroner'!D8</f>
        <v>0</v>
      </c>
      <c r="F133" s="28">
        <f>'8 Perroner'!E8</f>
        <v>0</v>
      </c>
      <c r="G133" s="28">
        <f>'8 Perroner'!F8</f>
        <v>0</v>
      </c>
      <c r="H133" s="28">
        <f>'8 Perroner'!G8</f>
        <v>0</v>
      </c>
      <c r="I133" s="28">
        <f>'8 Perroner'!H8</f>
        <v>0</v>
      </c>
      <c r="J133" s="28">
        <f>'8 Perroner'!I8</f>
        <v>0</v>
      </c>
      <c r="K133" s="28">
        <f>'8 Perroner'!J8</f>
        <v>0</v>
      </c>
      <c r="L133" s="28">
        <f>'8 Perroner'!K8</f>
        <v>0</v>
      </c>
      <c r="M133" s="28">
        <f>'8 Perroner'!L8</f>
        <v>0</v>
      </c>
      <c r="N133" s="28">
        <f>'8 Perroner'!M8</f>
        <v>0</v>
      </c>
      <c r="O133" s="28">
        <f>'8 Perroner'!N8</f>
        <v>0</v>
      </c>
      <c r="P133" s="28">
        <f>'8 Perroner'!O8</f>
        <v>0</v>
      </c>
      <c r="Q133" s="28">
        <f>'8 Perroner'!P8</f>
        <v>0</v>
      </c>
      <c r="R133" s="28">
        <f>'8 Perroner'!Q8</f>
        <v>0</v>
      </c>
      <c r="S133" s="28">
        <f>'8 Perroner'!R8</f>
        <v>0</v>
      </c>
      <c r="T133" s="51">
        <f>'8 Perroner'!S8</f>
        <v>0</v>
      </c>
      <c r="U133" s="52">
        <f>'8 Perroner'!T8</f>
        <v>0</v>
      </c>
      <c r="V133" s="28" t="s">
        <v>98</v>
      </c>
      <c r="W133" s="28" t="s">
        <v>98</v>
      </c>
      <c r="X133" s="28" t="s">
        <v>98</v>
      </c>
    </row>
    <row r="134" spans="1:24" s="37" customFormat="1" x14ac:dyDescent="0.25">
      <c r="A134" s="37">
        <v>5</v>
      </c>
      <c r="B134" s="37" t="s">
        <v>347</v>
      </c>
      <c r="C134" s="37" t="s">
        <v>348</v>
      </c>
      <c r="D134" s="38" t="str">
        <f>'8 Perroner'!C9</f>
        <v>M</v>
      </c>
      <c r="E134" s="37">
        <f>'8 Perroner'!D9</f>
        <v>0</v>
      </c>
      <c r="F134" s="37">
        <f>'8 Perroner'!E9</f>
        <v>252</v>
      </c>
      <c r="G134" s="37">
        <f>'8 Perroner'!F9</f>
        <v>0</v>
      </c>
      <c r="H134" s="37">
        <f>'8 Perroner'!G9</f>
        <v>0</v>
      </c>
      <c r="I134" s="37">
        <f>'8 Perroner'!H9</f>
        <v>0</v>
      </c>
      <c r="J134" s="37">
        <f>'8 Perroner'!I9</f>
        <v>0</v>
      </c>
      <c r="K134" s="37">
        <f>'8 Perroner'!J9</f>
        <v>0</v>
      </c>
      <c r="L134" s="37">
        <f>'8 Perroner'!K9</f>
        <v>0</v>
      </c>
      <c r="M134" s="37">
        <f>'8 Perroner'!L9</f>
        <v>0</v>
      </c>
      <c r="N134" s="37">
        <f>'8 Perroner'!M9</f>
        <v>0</v>
      </c>
      <c r="O134" s="37">
        <f>'8 Perroner'!N9</f>
        <v>0</v>
      </c>
      <c r="P134" s="37">
        <f>'8 Perroner'!O9</f>
        <v>0</v>
      </c>
      <c r="Q134" s="37">
        <f>'8 Perroner'!P9</f>
        <v>0</v>
      </c>
      <c r="R134" s="37">
        <f>'8 Perroner'!Q9</f>
        <v>0</v>
      </c>
      <c r="S134" s="37">
        <f>'8 Perroner'!R9</f>
        <v>252</v>
      </c>
      <c r="T134" s="39">
        <f>'8 Perroner'!S9</f>
        <v>2055</v>
      </c>
      <c r="U134" s="40">
        <f>'8 Perroner'!T9</f>
        <v>517860</v>
      </c>
      <c r="V134" s="37" t="s">
        <v>98</v>
      </c>
      <c r="W134" s="37" t="s">
        <v>822</v>
      </c>
      <c r="X134" s="37" t="s">
        <v>98</v>
      </c>
    </row>
    <row r="135" spans="1:24" s="36" customFormat="1" x14ac:dyDescent="0.25">
      <c r="A135" s="28">
        <v>4</v>
      </c>
      <c r="B135" s="28" t="s">
        <v>349</v>
      </c>
      <c r="C135" s="28" t="s">
        <v>350</v>
      </c>
      <c r="D135" s="50" t="str">
        <f>'8 Perroner'!C10</f>
        <v/>
      </c>
      <c r="E135" s="28">
        <f>'8 Perroner'!D10</f>
        <v>0</v>
      </c>
      <c r="F135" s="28">
        <f>'8 Perroner'!E10</f>
        <v>0</v>
      </c>
      <c r="G135" s="28">
        <f>'8 Perroner'!F10</f>
        <v>0</v>
      </c>
      <c r="H135" s="28">
        <f>'8 Perroner'!G10</f>
        <v>0</v>
      </c>
      <c r="I135" s="28">
        <f>'8 Perroner'!H10</f>
        <v>0</v>
      </c>
      <c r="J135" s="28">
        <f>'8 Perroner'!I10</f>
        <v>0</v>
      </c>
      <c r="K135" s="28">
        <f>'8 Perroner'!J10</f>
        <v>0</v>
      </c>
      <c r="L135" s="28">
        <f>'8 Perroner'!K10</f>
        <v>0</v>
      </c>
      <c r="M135" s="28">
        <f>'8 Perroner'!L10</f>
        <v>0</v>
      </c>
      <c r="N135" s="28">
        <f>'8 Perroner'!M10</f>
        <v>0</v>
      </c>
      <c r="O135" s="28">
        <f>'8 Perroner'!N10</f>
        <v>0</v>
      </c>
      <c r="P135" s="28">
        <f>'8 Perroner'!O10</f>
        <v>0</v>
      </c>
      <c r="Q135" s="28">
        <f>'8 Perroner'!P10</f>
        <v>0</v>
      </c>
      <c r="R135" s="28">
        <f>'8 Perroner'!Q10</f>
        <v>0</v>
      </c>
      <c r="S135" s="28">
        <f>'8 Perroner'!R10</f>
        <v>0</v>
      </c>
      <c r="T135" s="51">
        <f>'8 Perroner'!S10</f>
        <v>0</v>
      </c>
      <c r="U135" s="52">
        <f>'8 Perroner'!T10</f>
        <v>0</v>
      </c>
      <c r="V135" s="28" t="s">
        <v>98</v>
      </c>
      <c r="W135" s="28" t="s">
        <v>98</v>
      </c>
      <c r="X135" s="28" t="s">
        <v>98</v>
      </c>
    </row>
    <row r="136" spans="1:24" s="37" customFormat="1" x14ac:dyDescent="0.25">
      <c r="A136" s="37">
        <v>5</v>
      </c>
      <c r="B136" s="37" t="s">
        <v>351</v>
      </c>
      <c r="C136" s="37" t="s">
        <v>352</v>
      </c>
      <c r="D136" s="38" t="str">
        <f>'8 Perroner'!C11</f>
        <v>M</v>
      </c>
      <c r="E136" s="37">
        <f>'8 Perroner'!D11</f>
        <v>0</v>
      </c>
      <c r="F136" s="37">
        <f>'8 Perroner'!E11</f>
        <v>252</v>
      </c>
      <c r="G136" s="37">
        <f>'8 Perroner'!F11</f>
        <v>0</v>
      </c>
      <c r="H136" s="37">
        <f>'8 Perroner'!G11</f>
        <v>0</v>
      </c>
      <c r="I136" s="37">
        <f>'8 Perroner'!H11</f>
        <v>0</v>
      </c>
      <c r="J136" s="37">
        <f>'8 Perroner'!I11</f>
        <v>0</v>
      </c>
      <c r="K136" s="37">
        <f>'8 Perroner'!J11</f>
        <v>0</v>
      </c>
      <c r="L136" s="37">
        <f>'8 Perroner'!K11</f>
        <v>0</v>
      </c>
      <c r="M136" s="37">
        <f>'8 Perroner'!L11</f>
        <v>0</v>
      </c>
      <c r="N136" s="37">
        <f>'8 Perroner'!M11</f>
        <v>0</v>
      </c>
      <c r="O136" s="37">
        <f>'8 Perroner'!N11</f>
        <v>0</v>
      </c>
      <c r="P136" s="37">
        <f>'8 Perroner'!O11</f>
        <v>0</v>
      </c>
      <c r="Q136" s="37">
        <f>'8 Perroner'!P11</f>
        <v>0</v>
      </c>
      <c r="R136" s="37">
        <f>'8 Perroner'!Q11</f>
        <v>0</v>
      </c>
      <c r="S136" s="37">
        <f>'8 Perroner'!R11</f>
        <v>252</v>
      </c>
      <c r="T136" s="39">
        <f>'8 Perroner'!S11</f>
        <v>383</v>
      </c>
      <c r="U136" s="40">
        <f>'8 Perroner'!T11</f>
        <v>96516</v>
      </c>
      <c r="V136" s="37" t="s">
        <v>98</v>
      </c>
      <c r="W136" s="37" t="s">
        <v>98</v>
      </c>
      <c r="X136" s="37" t="s">
        <v>98</v>
      </c>
    </row>
    <row r="137" spans="1:24" s="37" customFormat="1" x14ac:dyDescent="0.25">
      <c r="A137" s="37">
        <v>5</v>
      </c>
      <c r="B137" s="37" t="s">
        <v>353</v>
      </c>
      <c r="C137" s="37" t="s">
        <v>354</v>
      </c>
      <c r="D137" s="38" t="str">
        <f>'8 Perroner'!C12</f>
        <v>STK</v>
      </c>
      <c r="E137" s="37">
        <f>'8 Perroner'!D12</f>
        <v>0</v>
      </c>
      <c r="F137" s="37">
        <f>'8 Perroner'!E12</f>
        <v>10</v>
      </c>
      <c r="G137" s="37">
        <f>'8 Perroner'!F12</f>
        <v>0</v>
      </c>
      <c r="H137" s="37">
        <f>'8 Perroner'!G12</f>
        <v>0</v>
      </c>
      <c r="I137" s="37">
        <f>'8 Perroner'!H12</f>
        <v>0</v>
      </c>
      <c r="J137" s="37">
        <f>'8 Perroner'!I12</f>
        <v>0</v>
      </c>
      <c r="K137" s="37">
        <f>'8 Perroner'!J12</f>
        <v>0</v>
      </c>
      <c r="L137" s="37">
        <f>'8 Perroner'!K12</f>
        <v>0</v>
      </c>
      <c r="M137" s="37">
        <f>'8 Perroner'!L12</f>
        <v>0</v>
      </c>
      <c r="N137" s="37">
        <f>'8 Perroner'!M12</f>
        <v>0</v>
      </c>
      <c r="O137" s="37">
        <f>'8 Perroner'!N12</f>
        <v>0</v>
      </c>
      <c r="P137" s="37">
        <f>'8 Perroner'!O12</f>
        <v>0</v>
      </c>
      <c r="Q137" s="37">
        <f>'8 Perroner'!P12</f>
        <v>0</v>
      </c>
      <c r="R137" s="37">
        <f>'8 Perroner'!Q12</f>
        <v>0</v>
      </c>
      <c r="S137" s="37">
        <f>'8 Perroner'!R12</f>
        <v>10</v>
      </c>
      <c r="T137" s="39">
        <f>'8 Perroner'!S12</f>
        <v>8261</v>
      </c>
      <c r="U137" s="40">
        <f>'8 Perroner'!T12</f>
        <v>82610</v>
      </c>
      <c r="V137" s="37" t="s">
        <v>98</v>
      </c>
      <c r="W137" s="37" t="s">
        <v>98</v>
      </c>
      <c r="X137" s="37" t="s">
        <v>98</v>
      </c>
    </row>
    <row r="138" spans="1:24" s="32" customFormat="1" ht="15.75" x14ac:dyDescent="0.25">
      <c r="A138" s="32">
        <v>3</v>
      </c>
      <c r="B138" s="32" t="s">
        <v>42</v>
      </c>
      <c r="C138" s="32" t="s">
        <v>43</v>
      </c>
      <c r="D138" s="33" t="str">
        <f>'9 Kørestrøm'!C2</f>
        <v/>
      </c>
      <c r="E138" s="32">
        <f>'9 Kørestrøm'!D2</f>
        <v>0</v>
      </c>
      <c r="F138" s="32">
        <f>'9 Kørestrøm'!E2</f>
        <v>0</v>
      </c>
      <c r="G138" s="32">
        <f>'9 Kørestrøm'!F2</f>
        <v>0</v>
      </c>
      <c r="H138" s="32">
        <f>'9 Kørestrøm'!G2</f>
        <v>0</v>
      </c>
      <c r="I138" s="32">
        <f>'9 Kørestrøm'!H2</f>
        <v>0</v>
      </c>
      <c r="J138" s="32">
        <f>'9 Kørestrøm'!I2</f>
        <v>0</v>
      </c>
      <c r="K138" s="32">
        <f>'9 Kørestrøm'!J2</f>
        <v>0</v>
      </c>
      <c r="L138" s="32">
        <f>'9 Kørestrøm'!K2</f>
        <v>0</v>
      </c>
      <c r="M138" s="32">
        <f>'9 Kørestrøm'!L2</f>
        <v>0</v>
      </c>
      <c r="N138" s="32">
        <f>'9 Kørestrøm'!M2</f>
        <v>0</v>
      </c>
      <c r="O138" s="32">
        <f>'9 Kørestrøm'!N2</f>
        <v>0</v>
      </c>
      <c r="P138" s="32">
        <f>'9 Kørestrøm'!O2</f>
        <v>0</v>
      </c>
      <c r="Q138" s="32">
        <f>'9 Kørestrøm'!P2</f>
        <v>0</v>
      </c>
      <c r="R138" s="32">
        <f>'9 Kørestrøm'!Q2</f>
        <v>0</v>
      </c>
      <c r="S138" s="32">
        <f>'9 Kørestrøm'!R2</f>
        <v>0</v>
      </c>
      <c r="T138" s="34">
        <f>'9 Kørestrøm'!S2</f>
        <v>0</v>
      </c>
      <c r="U138" s="35">
        <f>'9 Kørestrøm'!T2</f>
        <v>0</v>
      </c>
      <c r="V138" s="32" t="s">
        <v>98</v>
      </c>
      <c r="W138" s="32" t="s">
        <v>98</v>
      </c>
      <c r="X138" s="32" t="s">
        <v>98</v>
      </c>
    </row>
    <row r="139" spans="1:24" s="36" customFormat="1" x14ac:dyDescent="0.25">
      <c r="A139" s="28">
        <v>4</v>
      </c>
      <c r="B139" s="28" t="s">
        <v>355</v>
      </c>
      <c r="C139" s="28" t="s">
        <v>356</v>
      </c>
      <c r="D139" s="50" t="str">
        <f>'9 Kørestrøm'!C3</f>
        <v/>
      </c>
      <c r="E139" s="28">
        <f>'9 Kørestrøm'!D3</f>
        <v>0</v>
      </c>
      <c r="F139" s="28">
        <f>'9 Kørestrøm'!E3</f>
        <v>0</v>
      </c>
      <c r="G139" s="28">
        <f>'9 Kørestrøm'!F3</f>
        <v>0</v>
      </c>
      <c r="H139" s="28">
        <f>'9 Kørestrøm'!G3</f>
        <v>0</v>
      </c>
      <c r="I139" s="28">
        <f>'9 Kørestrøm'!H3</f>
        <v>0</v>
      </c>
      <c r="J139" s="28">
        <f>'9 Kørestrøm'!I3</f>
        <v>0</v>
      </c>
      <c r="K139" s="28">
        <f>'9 Kørestrøm'!J3</f>
        <v>0</v>
      </c>
      <c r="L139" s="28">
        <f>'9 Kørestrøm'!K3</f>
        <v>0</v>
      </c>
      <c r="M139" s="28">
        <f>'9 Kørestrøm'!L3</f>
        <v>0</v>
      </c>
      <c r="N139" s="28">
        <f>'9 Kørestrøm'!M3</f>
        <v>0</v>
      </c>
      <c r="O139" s="28">
        <f>'9 Kørestrøm'!N3</f>
        <v>0</v>
      </c>
      <c r="P139" s="28">
        <f>'9 Kørestrøm'!O3</f>
        <v>0</v>
      </c>
      <c r="Q139" s="28">
        <f>'9 Kørestrøm'!P3</f>
        <v>0</v>
      </c>
      <c r="R139" s="28">
        <f>'9 Kørestrøm'!Q3</f>
        <v>0</v>
      </c>
      <c r="S139" s="28">
        <f>'9 Kørestrøm'!R3</f>
        <v>0</v>
      </c>
      <c r="T139" s="51">
        <f>'9 Kørestrøm'!S3</f>
        <v>0</v>
      </c>
      <c r="U139" s="52">
        <f>'9 Kørestrøm'!T3</f>
        <v>0</v>
      </c>
      <c r="V139" s="28" t="s">
        <v>98</v>
      </c>
      <c r="W139" s="28" t="s">
        <v>98</v>
      </c>
      <c r="X139" s="28" t="s">
        <v>98</v>
      </c>
    </row>
    <row r="140" spans="1:24" s="37" customFormat="1" x14ac:dyDescent="0.25">
      <c r="A140" s="37">
        <v>5</v>
      </c>
      <c r="B140" s="37" t="s">
        <v>357</v>
      </c>
      <c r="C140" s="37" t="s">
        <v>358</v>
      </c>
      <c r="D140" s="38" t="str">
        <f>'9 Kørestrøm'!C4</f>
        <v>STK</v>
      </c>
      <c r="E140" s="37">
        <f>'9 Kørestrøm'!D4</f>
        <v>8</v>
      </c>
      <c r="F140" s="37">
        <f>'9 Kørestrøm'!E4</f>
        <v>0</v>
      </c>
      <c r="G140" s="37">
        <f>'9 Kørestrøm'!F4</f>
        <v>0</v>
      </c>
      <c r="H140" s="37">
        <f>'9 Kørestrøm'!G4</f>
        <v>0</v>
      </c>
      <c r="I140" s="37">
        <f>'9 Kørestrøm'!H4</f>
        <v>0</v>
      </c>
      <c r="J140" s="37">
        <f>'9 Kørestrøm'!I4</f>
        <v>2</v>
      </c>
      <c r="K140" s="37">
        <f>'9 Kørestrøm'!J4</f>
        <v>0</v>
      </c>
      <c r="L140" s="37">
        <f>'9 Kørestrøm'!K4</f>
        <v>0</v>
      </c>
      <c r="M140" s="37">
        <f>'9 Kørestrøm'!L4</f>
        <v>0</v>
      </c>
      <c r="N140" s="37">
        <f>'9 Kørestrøm'!M4</f>
        <v>0</v>
      </c>
      <c r="O140" s="37">
        <f>'9 Kørestrøm'!N4</f>
        <v>0</v>
      </c>
      <c r="P140" s="37">
        <f>'9 Kørestrøm'!O4</f>
        <v>0</v>
      </c>
      <c r="Q140" s="37">
        <f>'9 Kørestrøm'!P4</f>
        <v>0</v>
      </c>
      <c r="R140" s="37">
        <f>'9 Kørestrøm'!Q4</f>
        <v>0</v>
      </c>
      <c r="S140" s="37">
        <f>'9 Kørestrøm'!R4</f>
        <v>10</v>
      </c>
      <c r="T140" s="39">
        <f>'9 Kørestrøm'!S4</f>
        <v>405</v>
      </c>
      <c r="U140" s="40">
        <f>'9 Kørestrøm'!T4</f>
        <v>4050</v>
      </c>
      <c r="V140" s="37" t="s">
        <v>98</v>
      </c>
      <c r="W140" s="37" t="s">
        <v>822</v>
      </c>
      <c r="X140" s="37" t="s">
        <v>98</v>
      </c>
    </row>
    <row r="141" spans="1:24" s="37" customFormat="1" x14ac:dyDescent="0.25">
      <c r="A141" s="37">
        <v>5</v>
      </c>
      <c r="B141" s="37" t="s">
        <v>359</v>
      </c>
      <c r="C141" s="37" t="s">
        <v>360</v>
      </c>
      <c r="D141" s="38" t="str">
        <f>'9 Kørestrøm'!C5</f>
        <v/>
      </c>
      <c r="E141" s="37">
        <f>'9 Kørestrøm'!D5</f>
        <v>0</v>
      </c>
      <c r="F141" s="37">
        <f>'9 Kørestrøm'!E5</f>
        <v>0</v>
      </c>
      <c r="G141" s="37">
        <f>'9 Kørestrøm'!F5</f>
        <v>0</v>
      </c>
      <c r="H141" s="37">
        <f>'9 Kørestrøm'!G5</f>
        <v>0</v>
      </c>
      <c r="I141" s="37">
        <f>'9 Kørestrøm'!H5</f>
        <v>0</v>
      </c>
      <c r="J141" s="37">
        <f>'9 Kørestrøm'!I5</f>
        <v>0</v>
      </c>
      <c r="K141" s="37">
        <f>'9 Kørestrøm'!J5</f>
        <v>0</v>
      </c>
      <c r="L141" s="37">
        <f>'9 Kørestrøm'!K5</f>
        <v>0</v>
      </c>
      <c r="M141" s="37">
        <f>'9 Kørestrøm'!L5</f>
        <v>0</v>
      </c>
      <c r="N141" s="37">
        <f>'9 Kørestrøm'!M5</f>
        <v>0</v>
      </c>
      <c r="O141" s="37">
        <f>'9 Kørestrøm'!N5</f>
        <v>0</v>
      </c>
      <c r="P141" s="37">
        <f>'9 Kørestrøm'!O5</f>
        <v>0</v>
      </c>
      <c r="Q141" s="37">
        <f>'9 Kørestrøm'!P5</f>
        <v>0</v>
      </c>
      <c r="R141" s="37">
        <f>'9 Kørestrøm'!Q5</f>
        <v>0</v>
      </c>
      <c r="S141" s="37">
        <f>'9 Kørestrøm'!R5</f>
        <v>0</v>
      </c>
      <c r="T141" s="39">
        <f>'9 Kørestrøm'!S5</f>
        <v>0</v>
      </c>
      <c r="U141" s="40">
        <f>'9 Kørestrøm'!T5</f>
        <v>0</v>
      </c>
      <c r="V141" s="37" t="s">
        <v>98</v>
      </c>
      <c r="W141" s="37" t="s">
        <v>98</v>
      </c>
      <c r="X141" s="37" t="s">
        <v>98</v>
      </c>
    </row>
    <row r="142" spans="1:24" s="37" customFormat="1" x14ac:dyDescent="0.25">
      <c r="A142" s="37">
        <v>6</v>
      </c>
      <c r="B142" s="37" t="s">
        <v>361</v>
      </c>
      <c r="C142" s="37" t="s">
        <v>362</v>
      </c>
      <c r="D142" s="38" t="str">
        <f>'9 Kørestrøm'!C6</f>
        <v>STK</v>
      </c>
      <c r="E142" s="37">
        <f>'9 Kørestrøm'!D6</f>
        <v>8</v>
      </c>
      <c r="F142" s="37">
        <f>'9 Kørestrøm'!E6</f>
        <v>0</v>
      </c>
      <c r="G142" s="37">
        <f>'9 Kørestrøm'!F6</f>
        <v>0</v>
      </c>
      <c r="H142" s="37">
        <f>'9 Kørestrøm'!G6</f>
        <v>0</v>
      </c>
      <c r="I142" s="37">
        <f>'9 Kørestrøm'!H6</f>
        <v>0</v>
      </c>
      <c r="J142" s="37">
        <f>'9 Kørestrøm'!I6</f>
        <v>0</v>
      </c>
      <c r="K142" s="37">
        <f>'9 Kørestrøm'!J6</f>
        <v>0</v>
      </c>
      <c r="L142" s="37">
        <f>'9 Kørestrøm'!K6</f>
        <v>0</v>
      </c>
      <c r="M142" s="37">
        <f>'9 Kørestrøm'!L6</f>
        <v>0</v>
      </c>
      <c r="N142" s="37">
        <f>'9 Kørestrøm'!M6</f>
        <v>0</v>
      </c>
      <c r="O142" s="37">
        <f>'9 Kørestrøm'!N6</f>
        <v>0</v>
      </c>
      <c r="P142" s="37">
        <f>'9 Kørestrøm'!O6</f>
        <v>0</v>
      </c>
      <c r="Q142" s="37">
        <f>'9 Kørestrøm'!P6</f>
        <v>0</v>
      </c>
      <c r="R142" s="37">
        <f>'9 Kørestrøm'!Q6</f>
        <v>0</v>
      </c>
      <c r="S142" s="37">
        <f>'9 Kørestrøm'!R6</f>
        <v>8</v>
      </c>
      <c r="T142" s="39">
        <f>'9 Kørestrøm'!S6</f>
        <v>5158</v>
      </c>
      <c r="U142" s="40">
        <f>'9 Kørestrøm'!T6</f>
        <v>41264</v>
      </c>
      <c r="V142" s="37" t="s">
        <v>98</v>
      </c>
      <c r="W142" s="37" t="s">
        <v>62</v>
      </c>
      <c r="X142" s="37" t="s">
        <v>98</v>
      </c>
    </row>
    <row r="143" spans="1:24" s="37" customFormat="1" x14ac:dyDescent="0.25">
      <c r="A143" s="37">
        <v>5</v>
      </c>
      <c r="B143" s="37" t="s">
        <v>363</v>
      </c>
      <c r="C143" s="37" t="s">
        <v>364</v>
      </c>
      <c r="D143" s="38" t="str">
        <f>'9 Kørestrøm'!C7</f>
        <v>STK</v>
      </c>
      <c r="E143" s="37">
        <f>'9 Kørestrøm'!D7</f>
        <v>8</v>
      </c>
      <c r="F143" s="37">
        <f>'9 Kørestrøm'!E7</f>
        <v>0</v>
      </c>
      <c r="G143" s="37">
        <f>'9 Kørestrøm'!F7</f>
        <v>0</v>
      </c>
      <c r="H143" s="37">
        <f>'9 Kørestrøm'!G7</f>
        <v>0</v>
      </c>
      <c r="I143" s="37">
        <f>'9 Kørestrøm'!H7</f>
        <v>0</v>
      </c>
      <c r="J143" s="37">
        <f>'9 Kørestrøm'!I7</f>
        <v>0</v>
      </c>
      <c r="K143" s="37">
        <f>'9 Kørestrøm'!J7</f>
        <v>0</v>
      </c>
      <c r="L143" s="37">
        <f>'9 Kørestrøm'!K7</f>
        <v>0</v>
      </c>
      <c r="M143" s="37">
        <f>'9 Kørestrøm'!L7</f>
        <v>0</v>
      </c>
      <c r="N143" s="37">
        <f>'9 Kørestrøm'!M7</f>
        <v>0</v>
      </c>
      <c r="O143" s="37">
        <f>'9 Kørestrøm'!N7</f>
        <v>0</v>
      </c>
      <c r="P143" s="37">
        <f>'9 Kørestrøm'!O7</f>
        <v>0</v>
      </c>
      <c r="Q143" s="37">
        <f>'9 Kørestrøm'!P7</f>
        <v>0</v>
      </c>
      <c r="R143" s="37">
        <f>'9 Kørestrøm'!Q7</f>
        <v>0</v>
      </c>
      <c r="S143" s="37">
        <f>'9 Kørestrøm'!R7</f>
        <v>8</v>
      </c>
      <c r="T143" s="39">
        <f>'9 Kørestrøm'!S7</f>
        <v>2735</v>
      </c>
      <c r="U143" s="40">
        <f>'9 Kørestrøm'!T7</f>
        <v>21880</v>
      </c>
      <c r="V143" s="37" t="s">
        <v>98</v>
      </c>
      <c r="W143" s="37" t="s">
        <v>62</v>
      </c>
      <c r="X143" s="37" t="s">
        <v>98</v>
      </c>
    </row>
    <row r="144" spans="1:24" s="37" customFormat="1" x14ac:dyDescent="0.25">
      <c r="A144" s="37">
        <v>5</v>
      </c>
      <c r="B144" s="37" t="s">
        <v>365</v>
      </c>
      <c r="C144" s="37" t="s">
        <v>366</v>
      </c>
      <c r="D144" s="38" t="str">
        <f>'9 Kørestrøm'!C8</f>
        <v/>
      </c>
      <c r="E144" s="37">
        <f>'9 Kørestrøm'!D8</f>
        <v>0</v>
      </c>
      <c r="F144" s="37">
        <f>'9 Kørestrøm'!E8</f>
        <v>0</v>
      </c>
      <c r="G144" s="37">
        <f>'9 Kørestrøm'!F8</f>
        <v>0</v>
      </c>
      <c r="H144" s="37">
        <f>'9 Kørestrøm'!G8</f>
        <v>0</v>
      </c>
      <c r="I144" s="37">
        <f>'9 Kørestrøm'!H8</f>
        <v>0</v>
      </c>
      <c r="J144" s="37">
        <f>'9 Kørestrøm'!I8</f>
        <v>0</v>
      </c>
      <c r="K144" s="37">
        <f>'9 Kørestrøm'!J8</f>
        <v>0</v>
      </c>
      <c r="L144" s="37">
        <f>'9 Kørestrøm'!K8</f>
        <v>0</v>
      </c>
      <c r="M144" s="37">
        <f>'9 Kørestrøm'!L8</f>
        <v>0</v>
      </c>
      <c r="N144" s="37">
        <f>'9 Kørestrøm'!M8</f>
        <v>0</v>
      </c>
      <c r="O144" s="37">
        <f>'9 Kørestrøm'!N8</f>
        <v>0</v>
      </c>
      <c r="P144" s="37">
        <f>'9 Kørestrøm'!O8</f>
        <v>0</v>
      </c>
      <c r="Q144" s="37">
        <f>'9 Kørestrøm'!P8</f>
        <v>0</v>
      </c>
      <c r="R144" s="37">
        <f>'9 Kørestrøm'!Q8</f>
        <v>0</v>
      </c>
      <c r="S144" s="37">
        <f>'9 Kørestrøm'!R8</f>
        <v>0</v>
      </c>
      <c r="T144" s="39">
        <f>'9 Kørestrøm'!S8</f>
        <v>0</v>
      </c>
      <c r="U144" s="40">
        <f>'9 Kørestrøm'!T8</f>
        <v>0</v>
      </c>
      <c r="V144" s="37" t="s">
        <v>98</v>
      </c>
      <c r="W144" s="37" t="s">
        <v>98</v>
      </c>
      <c r="X144" s="37" t="s">
        <v>98</v>
      </c>
    </row>
    <row r="145" spans="1:24" s="37" customFormat="1" x14ac:dyDescent="0.25">
      <c r="A145" s="37">
        <v>6</v>
      </c>
      <c r="B145" s="37" t="s">
        <v>367</v>
      </c>
      <c r="C145" s="37" t="s">
        <v>368</v>
      </c>
      <c r="D145" s="38" t="str">
        <f>'9 Kørestrøm'!C9</f>
        <v>STK</v>
      </c>
      <c r="E145" s="37">
        <f>'9 Kørestrøm'!D9</f>
        <v>8</v>
      </c>
      <c r="F145" s="37">
        <f>'9 Kørestrøm'!E9</f>
        <v>0</v>
      </c>
      <c r="G145" s="37">
        <f>'9 Kørestrøm'!F9</f>
        <v>0</v>
      </c>
      <c r="H145" s="37">
        <f>'9 Kørestrøm'!G9</f>
        <v>0</v>
      </c>
      <c r="I145" s="37">
        <f>'9 Kørestrøm'!H9</f>
        <v>0</v>
      </c>
      <c r="J145" s="37">
        <f>'9 Kørestrøm'!I9</f>
        <v>0</v>
      </c>
      <c r="K145" s="37">
        <f>'9 Kørestrøm'!J9</f>
        <v>0</v>
      </c>
      <c r="L145" s="37">
        <f>'9 Kørestrøm'!K9</f>
        <v>0</v>
      </c>
      <c r="M145" s="37">
        <f>'9 Kørestrøm'!L9</f>
        <v>0</v>
      </c>
      <c r="N145" s="37">
        <f>'9 Kørestrøm'!M9</f>
        <v>0</v>
      </c>
      <c r="O145" s="37">
        <f>'9 Kørestrøm'!N9</f>
        <v>0</v>
      </c>
      <c r="P145" s="37">
        <f>'9 Kørestrøm'!O9</f>
        <v>0</v>
      </c>
      <c r="Q145" s="37">
        <f>'9 Kørestrøm'!P9</f>
        <v>0</v>
      </c>
      <c r="R145" s="37">
        <f>'9 Kørestrøm'!Q9</f>
        <v>0</v>
      </c>
      <c r="S145" s="37">
        <f>'9 Kørestrøm'!R9</f>
        <v>8</v>
      </c>
      <c r="T145" s="39">
        <f>'9 Kørestrøm'!S9</f>
        <v>63732</v>
      </c>
      <c r="U145" s="40">
        <f>'9 Kørestrøm'!T9</f>
        <v>509856</v>
      </c>
      <c r="V145" s="37" t="s">
        <v>98</v>
      </c>
      <c r="W145" s="37" t="s">
        <v>62</v>
      </c>
      <c r="X145" s="37" t="s">
        <v>98</v>
      </c>
    </row>
    <row r="146" spans="1:24" s="37" customFormat="1" x14ac:dyDescent="0.25">
      <c r="A146" s="37">
        <v>6</v>
      </c>
      <c r="B146" s="37" t="s">
        <v>369</v>
      </c>
      <c r="C146" s="37" t="s">
        <v>370</v>
      </c>
      <c r="D146" s="38" t="str">
        <f>'9 Kørestrøm'!C10</f>
        <v>STK</v>
      </c>
      <c r="E146" s="37">
        <f>'9 Kørestrøm'!D10</f>
        <v>0</v>
      </c>
      <c r="F146" s="37">
        <f>'9 Kørestrøm'!E10</f>
        <v>0</v>
      </c>
      <c r="G146" s="37">
        <f>'9 Kørestrøm'!F10</f>
        <v>0</v>
      </c>
      <c r="H146" s="37">
        <f>'9 Kørestrøm'!G10</f>
        <v>0</v>
      </c>
      <c r="I146" s="37">
        <f>'9 Kørestrøm'!H10</f>
        <v>0</v>
      </c>
      <c r="J146" s="37">
        <f>'9 Kørestrøm'!I10</f>
        <v>0</v>
      </c>
      <c r="K146" s="37">
        <f>'9 Kørestrøm'!J10</f>
        <v>0</v>
      </c>
      <c r="L146" s="37">
        <f>'9 Kørestrøm'!K10</f>
        <v>8</v>
      </c>
      <c r="M146" s="37">
        <f>'9 Kørestrøm'!L10</f>
        <v>0</v>
      </c>
      <c r="N146" s="37">
        <f>'9 Kørestrøm'!M10</f>
        <v>0</v>
      </c>
      <c r="O146" s="37">
        <f>'9 Kørestrøm'!N10</f>
        <v>0</v>
      </c>
      <c r="P146" s="37">
        <f>'9 Kørestrøm'!O10</f>
        <v>0</v>
      </c>
      <c r="Q146" s="37">
        <f>'9 Kørestrøm'!P10</f>
        <v>0</v>
      </c>
      <c r="R146" s="37">
        <f>'9 Kørestrøm'!Q10</f>
        <v>0</v>
      </c>
      <c r="S146" s="37">
        <f>'9 Kørestrøm'!R10</f>
        <v>8</v>
      </c>
      <c r="T146" s="39">
        <f>'9 Kørestrøm'!S10</f>
        <v>57060</v>
      </c>
      <c r="U146" s="40">
        <f>'9 Kørestrøm'!T10</f>
        <v>456480</v>
      </c>
      <c r="V146" s="37" t="s">
        <v>98</v>
      </c>
      <c r="W146" s="37" t="s">
        <v>822</v>
      </c>
      <c r="X146" s="37" t="s">
        <v>98</v>
      </c>
    </row>
    <row r="147" spans="1:24" s="37" customFormat="1" x14ac:dyDescent="0.25">
      <c r="A147" s="37">
        <v>5</v>
      </c>
      <c r="B147" s="37" t="s">
        <v>371</v>
      </c>
      <c r="C147" s="37" t="s">
        <v>372</v>
      </c>
      <c r="D147" s="38" t="str">
        <f>'9 Kørestrøm'!C11</f>
        <v>N/A</v>
      </c>
      <c r="E147" s="37">
        <f>'9 Kørestrøm'!D11</f>
        <v>0</v>
      </c>
      <c r="F147" s="37">
        <f>'9 Kørestrøm'!E11</f>
        <v>0</v>
      </c>
      <c r="G147" s="37">
        <f>'9 Kørestrøm'!F11</f>
        <v>0</v>
      </c>
      <c r="H147" s="37">
        <f>'9 Kørestrøm'!G11</f>
        <v>0</v>
      </c>
      <c r="I147" s="37">
        <f>'9 Kørestrøm'!H11</f>
        <v>0</v>
      </c>
      <c r="J147" s="37">
        <f>'9 Kørestrøm'!I11</f>
        <v>0</v>
      </c>
      <c r="K147" s="37">
        <f>'9 Kørestrøm'!J11</f>
        <v>0</v>
      </c>
      <c r="L147" s="37">
        <f>'9 Kørestrøm'!K11</f>
        <v>0</v>
      </c>
      <c r="M147" s="37">
        <f>'9 Kørestrøm'!L11</f>
        <v>0</v>
      </c>
      <c r="N147" s="37">
        <f>'9 Kørestrøm'!M11</f>
        <v>0</v>
      </c>
      <c r="O147" s="37">
        <f>'9 Kørestrøm'!N11</f>
        <v>0</v>
      </c>
      <c r="P147" s="37">
        <f>'9 Kørestrøm'!O11</f>
        <v>0</v>
      </c>
      <c r="Q147" s="37">
        <f>'9 Kørestrøm'!P11</f>
        <v>0</v>
      </c>
      <c r="R147" s="37">
        <f>'9 Kørestrøm'!Q11</f>
        <v>0</v>
      </c>
      <c r="S147" s="37">
        <f>'9 Kørestrøm'!R11</f>
        <v>0</v>
      </c>
      <c r="T147" s="39">
        <f>'9 Kørestrøm'!S11</f>
        <v>0</v>
      </c>
      <c r="U147" s="40">
        <f>'9 Kørestrøm'!T11</f>
        <v>0</v>
      </c>
      <c r="V147" s="37" t="s">
        <v>98</v>
      </c>
      <c r="W147" s="37" t="s">
        <v>98</v>
      </c>
      <c r="X147" s="37" t="s">
        <v>98</v>
      </c>
    </row>
    <row r="148" spans="1:24" s="37" customFormat="1" x14ac:dyDescent="0.25">
      <c r="A148" s="37">
        <v>6</v>
      </c>
      <c r="B148" s="37" t="s">
        <v>374</v>
      </c>
      <c r="C148" s="37" t="s">
        <v>375</v>
      </c>
      <c r="D148" s="38" t="str">
        <f>'9 Kørestrøm'!C12</f>
        <v>STK</v>
      </c>
      <c r="E148" s="37">
        <f>'9 Kørestrøm'!D12</f>
        <v>174</v>
      </c>
      <c r="F148" s="37">
        <f>'9 Kørestrøm'!E12</f>
        <v>0</v>
      </c>
      <c r="G148" s="37">
        <f>'9 Kørestrøm'!F12</f>
        <v>0</v>
      </c>
      <c r="H148" s="37">
        <f>'9 Kørestrøm'!G12</f>
        <v>0</v>
      </c>
      <c r="I148" s="37">
        <f>'9 Kørestrøm'!H12</f>
        <v>0</v>
      </c>
      <c r="J148" s="37">
        <f>'9 Kørestrøm'!I12</f>
        <v>0</v>
      </c>
      <c r="K148" s="37">
        <f>'9 Kørestrøm'!J12</f>
        <v>0</v>
      </c>
      <c r="L148" s="37">
        <f>'9 Kørestrøm'!K12</f>
        <v>0</v>
      </c>
      <c r="M148" s="37">
        <f>'9 Kørestrøm'!L12</f>
        <v>0</v>
      </c>
      <c r="N148" s="37">
        <f>'9 Kørestrøm'!M12</f>
        <v>0</v>
      </c>
      <c r="O148" s="37">
        <f>'9 Kørestrøm'!N12</f>
        <v>0</v>
      </c>
      <c r="P148" s="37">
        <f>'9 Kørestrøm'!O12</f>
        <v>0</v>
      </c>
      <c r="Q148" s="37">
        <f>'9 Kørestrøm'!P12</f>
        <v>0</v>
      </c>
      <c r="R148" s="37">
        <f>'9 Kørestrøm'!Q12</f>
        <v>0</v>
      </c>
      <c r="S148" s="37">
        <f>'9 Kørestrøm'!R12</f>
        <v>174</v>
      </c>
      <c r="T148" s="39">
        <f>'9 Kørestrøm'!S12</f>
        <v>279</v>
      </c>
      <c r="U148" s="40">
        <f>'9 Kørestrøm'!T12</f>
        <v>48546</v>
      </c>
      <c r="V148" s="37" t="s">
        <v>98</v>
      </c>
      <c r="W148" s="37" t="s">
        <v>62</v>
      </c>
      <c r="X148" s="37" t="s">
        <v>98</v>
      </c>
    </row>
    <row r="149" spans="1:24" s="37" customFormat="1" x14ac:dyDescent="0.25">
      <c r="A149" s="37">
        <v>6</v>
      </c>
      <c r="B149" s="37" t="s">
        <v>376</v>
      </c>
      <c r="C149" s="37" t="s">
        <v>377</v>
      </c>
      <c r="D149" s="38" t="str">
        <f>'9 Kørestrøm'!C13</f>
        <v>STK</v>
      </c>
      <c r="E149" s="37">
        <f>'9 Kørestrøm'!D13</f>
        <v>0</v>
      </c>
      <c r="F149" s="37">
        <f>'9 Kørestrøm'!E13</f>
        <v>0</v>
      </c>
      <c r="G149" s="37">
        <f>'9 Kørestrøm'!F13</f>
        <v>0</v>
      </c>
      <c r="H149" s="37">
        <f>'9 Kørestrøm'!G13</f>
        <v>0</v>
      </c>
      <c r="I149" s="37">
        <f>'9 Kørestrøm'!H13</f>
        <v>0</v>
      </c>
      <c r="J149" s="37">
        <f>'9 Kørestrøm'!I13</f>
        <v>100</v>
      </c>
      <c r="K149" s="37">
        <f>'9 Kørestrøm'!J13</f>
        <v>0</v>
      </c>
      <c r="L149" s="37">
        <f>'9 Kørestrøm'!K13</f>
        <v>0</v>
      </c>
      <c r="M149" s="37">
        <f>'9 Kørestrøm'!L13</f>
        <v>0</v>
      </c>
      <c r="N149" s="37">
        <f>'9 Kørestrøm'!M13</f>
        <v>0</v>
      </c>
      <c r="O149" s="37">
        <f>'9 Kørestrøm'!N13</f>
        <v>0</v>
      </c>
      <c r="P149" s="37">
        <f>'9 Kørestrøm'!O13</f>
        <v>0</v>
      </c>
      <c r="Q149" s="37">
        <f>'9 Kørestrøm'!P13</f>
        <v>0</v>
      </c>
      <c r="R149" s="37">
        <f>'9 Kørestrøm'!Q13</f>
        <v>0</v>
      </c>
      <c r="S149" s="37">
        <f>'9 Kørestrøm'!R13</f>
        <v>100</v>
      </c>
      <c r="T149" s="39">
        <f>'9 Kørestrøm'!S13</f>
        <v>6533</v>
      </c>
      <c r="U149" s="40">
        <f>'9 Kørestrøm'!T13</f>
        <v>653300</v>
      </c>
      <c r="V149" s="37" t="s">
        <v>98</v>
      </c>
      <c r="W149" s="37" t="s">
        <v>822</v>
      </c>
      <c r="X149" s="37" t="s">
        <v>98</v>
      </c>
    </row>
    <row r="150" spans="1:24" s="37" customFormat="1" x14ac:dyDescent="0.25">
      <c r="A150" s="37">
        <v>6</v>
      </c>
      <c r="B150" s="37" t="s">
        <v>378</v>
      </c>
      <c r="C150" s="37" t="s">
        <v>379</v>
      </c>
      <c r="D150" s="38" t="str">
        <f>'9 Kørestrøm'!C14</f>
        <v>STK</v>
      </c>
      <c r="E150" s="37">
        <f>'9 Kørestrøm'!D14</f>
        <v>0</v>
      </c>
      <c r="F150" s="37">
        <f>'9 Kørestrøm'!E14</f>
        <v>0</v>
      </c>
      <c r="G150" s="37">
        <f>'9 Kørestrøm'!F14</f>
        <v>0</v>
      </c>
      <c r="H150" s="37">
        <f>'9 Kørestrøm'!G14</f>
        <v>0</v>
      </c>
      <c r="I150" s="37">
        <f>'9 Kørestrøm'!H14</f>
        <v>0</v>
      </c>
      <c r="J150" s="37">
        <f>'9 Kørestrøm'!I14</f>
        <v>50</v>
      </c>
      <c r="K150" s="37">
        <f>'9 Kørestrøm'!J14</f>
        <v>0</v>
      </c>
      <c r="L150" s="37">
        <f>'9 Kørestrøm'!K14</f>
        <v>0</v>
      </c>
      <c r="M150" s="37">
        <f>'9 Kørestrøm'!L14</f>
        <v>0</v>
      </c>
      <c r="N150" s="37">
        <f>'9 Kørestrøm'!M14</f>
        <v>0</v>
      </c>
      <c r="O150" s="37">
        <f>'9 Kørestrøm'!N14</f>
        <v>0</v>
      </c>
      <c r="P150" s="37">
        <f>'9 Kørestrøm'!O14</f>
        <v>0</v>
      </c>
      <c r="Q150" s="37">
        <f>'9 Kørestrøm'!P14</f>
        <v>0</v>
      </c>
      <c r="R150" s="37">
        <f>'9 Kørestrøm'!Q14</f>
        <v>0</v>
      </c>
      <c r="S150" s="37">
        <f>'9 Kørestrøm'!R14</f>
        <v>50</v>
      </c>
      <c r="T150" s="39">
        <f>'9 Kørestrøm'!S14</f>
        <v>14482</v>
      </c>
      <c r="U150" s="40">
        <f>'9 Kørestrøm'!T14</f>
        <v>724100</v>
      </c>
      <c r="V150" s="37" t="s">
        <v>98</v>
      </c>
      <c r="W150" s="37" t="s">
        <v>822</v>
      </c>
      <c r="X150" s="37" t="s">
        <v>98</v>
      </c>
    </row>
    <row r="151" spans="1:24" s="37" customFormat="1" x14ac:dyDescent="0.25">
      <c r="A151" s="37">
        <v>6</v>
      </c>
      <c r="B151" s="37" t="s">
        <v>380</v>
      </c>
      <c r="C151" s="37" t="s">
        <v>381</v>
      </c>
      <c r="D151" s="38" t="str">
        <f>'9 Kørestrøm'!C15</f>
        <v>STK</v>
      </c>
      <c r="E151" s="37">
        <f>'9 Kørestrøm'!D15</f>
        <v>0</v>
      </c>
      <c r="F151" s="37">
        <f>'9 Kørestrøm'!E15</f>
        <v>0</v>
      </c>
      <c r="G151" s="37">
        <f>'9 Kørestrøm'!F15</f>
        <v>0</v>
      </c>
      <c r="H151" s="37">
        <f>'9 Kørestrøm'!G15</f>
        <v>0</v>
      </c>
      <c r="I151" s="37">
        <f>'9 Kørestrøm'!H15</f>
        <v>0</v>
      </c>
      <c r="J151" s="37">
        <f>'9 Kørestrøm'!I15</f>
        <v>10</v>
      </c>
      <c r="K151" s="37">
        <f>'9 Kørestrøm'!J15</f>
        <v>0</v>
      </c>
      <c r="L151" s="37">
        <f>'9 Kørestrøm'!K15</f>
        <v>0</v>
      </c>
      <c r="M151" s="37">
        <f>'9 Kørestrøm'!L15</f>
        <v>0</v>
      </c>
      <c r="N151" s="37">
        <f>'9 Kørestrøm'!M15</f>
        <v>0</v>
      </c>
      <c r="O151" s="37">
        <f>'9 Kørestrøm'!N15</f>
        <v>0</v>
      </c>
      <c r="P151" s="37">
        <f>'9 Kørestrøm'!O15</f>
        <v>0</v>
      </c>
      <c r="Q151" s="37">
        <f>'9 Kørestrøm'!P15</f>
        <v>0</v>
      </c>
      <c r="R151" s="37">
        <f>'9 Kørestrøm'!Q15</f>
        <v>0</v>
      </c>
      <c r="S151" s="37">
        <f>'9 Kørestrøm'!R15</f>
        <v>10</v>
      </c>
      <c r="T151" s="39">
        <f>'9 Kørestrøm'!S15</f>
        <v>15663</v>
      </c>
      <c r="U151" s="40">
        <f>'9 Kørestrøm'!T15</f>
        <v>156630</v>
      </c>
      <c r="V151" s="37" t="s">
        <v>98</v>
      </c>
      <c r="W151" s="37" t="s">
        <v>822</v>
      </c>
      <c r="X151" s="37" t="s">
        <v>98</v>
      </c>
    </row>
    <row r="152" spans="1:24" s="37" customFormat="1" x14ac:dyDescent="0.25">
      <c r="A152" s="37">
        <v>5</v>
      </c>
      <c r="B152" s="37" t="s">
        <v>382</v>
      </c>
      <c r="C152" s="37" t="s">
        <v>383</v>
      </c>
      <c r="D152" s="38" t="str">
        <f>'9 Kørestrøm'!C16</f>
        <v>STK</v>
      </c>
      <c r="E152" s="37">
        <f>'9 Kørestrøm'!D16</f>
        <v>8</v>
      </c>
      <c r="F152" s="37">
        <f>'9 Kørestrøm'!E16</f>
        <v>0</v>
      </c>
      <c r="G152" s="37">
        <f>'9 Kørestrøm'!F16</f>
        <v>0</v>
      </c>
      <c r="H152" s="37">
        <f>'9 Kørestrøm'!G16</f>
        <v>0</v>
      </c>
      <c r="I152" s="37">
        <f>'9 Kørestrøm'!H16</f>
        <v>0</v>
      </c>
      <c r="J152" s="37">
        <f>'9 Kørestrøm'!I16</f>
        <v>0</v>
      </c>
      <c r="K152" s="37">
        <f>'9 Kørestrøm'!J16</f>
        <v>0</v>
      </c>
      <c r="L152" s="37">
        <f>'9 Kørestrøm'!K16</f>
        <v>0</v>
      </c>
      <c r="M152" s="37">
        <f>'9 Kørestrøm'!L16</f>
        <v>0</v>
      </c>
      <c r="N152" s="37">
        <f>'9 Kørestrøm'!M16</f>
        <v>0</v>
      </c>
      <c r="O152" s="37">
        <f>'9 Kørestrøm'!N16</f>
        <v>0</v>
      </c>
      <c r="P152" s="37">
        <f>'9 Kørestrøm'!O16</f>
        <v>0</v>
      </c>
      <c r="Q152" s="37">
        <f>'9 Kørestrøm'!P16</f>
        <v>0</v>
      </c>
      <c r="R152" s="37">
        <f>'9 Kørestrøm'!Q16</f>
        <v>0</v>
      </c>
      <c r="S152" s="37">
        <f>'9 Kørestrøm'!R16</f>
        <v>8</v>
      </c>
      <c r="T152" s="39">
        <f>'9 Kørestrøm'!S16</f>
        <v>419</v>
      </c>
      <c r="U152" s="40">
        <f>'9 Kørestrøm'!T16</f>
        <v>3352</v>
      </c>
      <c r="V152" s="37" t="s">
        <v>98</v>
      </c>
      <c r="W152" s="37" t="s">
        <v>62</v>
      </c>
      <c r="X152" s="37" t="s">
        <v>98</v>
      </c>
    </row>
    <row r="153" spans="1:24" s="36" customFormat="1" x14ac:dyDescent="0.25">
      <c r="A153" s="28">
        <v>4</v>
      </c>
      <c r="B153" s="28" t="s">
        <v>384</v>
      </c>
      <c r="C153" s="28" t="s">
        <v>385</v>
      </c>
      <c r="D153" s="50" t="str">
        <f>'9 Kørestrøm'!C17</f>
        <v/>
      </c>
      <c r="E153" s="28">
        <f>'9 Kørestrøm'!D17</f>
        <v>0</v>
      </c>
      <c r="F153" s="28">
        <f>'9 Kørestrøm'!E17</f>
        <v>0</v>
      </c>
      <c r="G153" s="28">
        <f>'9 Kørestrøm'!F17</f>
        <v>0</v>
      </c>
      <c r="H153" s="28">
        <f>'9 Kørestrøm'!G17</f>
        <v>0</v>
      </c>
      <c r="I153" s="28">
        <f>'9 Kørestrøm'!H17</f>
        <v>0</v>
      </c>
      <c r="J153" s="28">
        <f>'9 Kørestrøm'!I17</f>
        <v>0</v>
      </c>
      <c r="K153" s="28">
        <f>'9 Kørestrøm'!J17</f>
        <v>0</v>
      </c>
      <c r="L153" s="28">
        <f>'9 Kørestrøm'!K17</f>
        <v>0</v>
      </c>
      <c r="M153" s="28">
        <f>'9 Kørestrøm'!L17</f>
        <v>0</v>
      </c>
      <c r="N153" s="28">
        <f>'9 Kørestrøm'!M17</f>
        <v>0</v>
      </c>
      <c r="O153" s="28">
        <f>'9 Kørestrøm'!N17</f>
        <v>0</v>
      </c>
      <c r="P153" s="28">
        <f>'9 Kørestrøm'!O17</f>
        <v>0</v>
      </c>
      <c r="Q153" s="28">
        <f>'9 Kørestrøm'!P17</f>
        <v>0</v>
      </c>
      <c r="R153" s="28">
        <f>'9 Kørestrøm'!Q17</f>
        <v>0</v>
      </c>
      <c r="S153" s="28">
        <f>'9 Kørestrøm'!R17</f>
        <v>0</v>
      </c>
      <c r="T153" s="51">
        <f>'9 Kørestrøm'!S17</f>
        <v>0</v>
      </c>
      <c r="U153" s="52">
        <f>'9 Kørestrøm'!T17</f>
        <v>0</v>
      </c>
      <c r="V153" s="28" t="s">
        <v>98</v>
      </c>
      <c r="W153" s="28" t="s">
        <v>98</v>
      </c>
      <c r="X153" s="28" t="s">
        <v>98</v>
      </c>
    </row>
    <row r="154" spans="1:24" s="37" customFormat="1" x14ac:dyDescent="0.25">
      <c r="A154" s="37">
        <v>5</v>
      </c>
      <c r="B154" s="37" t="s">
        <v>386</v>
      </c>
      <c r="C154" s="37" t="s">
        <v>387</v>
      </c>
      <c r="D154" s="38" t="str">
        <f>'9 Kørestrøm'!C18</f>
        <v>STK</v>
      </c>
      <c r="E154" s="37">
        <f>'9 Kørestrøm'!D18</f>
        <v>8</v>
      </c>
      <c r="F154" s="37">
        <f>'9 Kørestrøm'!E18</f>
        <v>0</v>
      </c>
      <c r="G154" s="37">
        <f>'9 Kørestrøm'!F18</f>
        <v>0</v>
      </c>
      <c r="H154" s="37">
        <f>'9 Kørestrøm'!G18</f>
        <v>0</v>
      </c>
      <c r="I154" s="37">
        <f>'9 Kørestrøm'!H18</f>
        <v>0</v>
      </c>
      <c r="J154" s="37">
        <f>'9 Kørestrøm'!I18</f>
        <v>0</v>
      </c>
      <c r="K154" s="37">
        <f>'9 Kørestrøm'!J18</f>
        <v>0</v>
      </c>
      <c r="L154" s="37">
        <f>'9 Kørestrøm'!K18</f>
        <v>0</v>
      </c>
      <c r="M154" s="37">
        <f>'9 Kørestrøm'!L18</f>
        <v>0</v>
      </c>
      <c r="N154" s="37">
        <f>'9 Kørestrøm'!M18</f>
        <v>0</v>
      </c>
      <c r="O154" s="37">
        <f>'9 Kørestrøm'!N18</f>
        <v>0</v>
      </c>
      <c r="P154" s="37">
        <f>'9 Kørestrøm'!O18</f>
        <v>0</v>
      </c>
      <c r="Q154" s="37">
        <f>'9 Kørestrøm'!P18</f>
        <v>0</v>
      </c>
      <c r="R154" s="37">
        <f>'9 Kørestrøm'!Q18</f>
        <v>0</v>
      </c>
      <c r="S154" s="37">
        <f>'9 Kørestrøm'!R18</f>
        <v>8</v>
      </c>
      <c r="T154" s="39">
        <f>'9 Kørestrøm'!S18</f>
        <v>7069</v>
      </c>
      <c r="U154" s="40">
        <f>'9 Kørestrøm'!T18</f>
        <v>56552</v>
      </c>
      <c r="V154" s="37" t="s">
        <v>98</v>
      </c>
      <c r="W154" s="37" t="s">
        <v>822</v>
      </c>
      <c r="X154" s="37" t="s">
        <v>98</v>
      </c>
    </row>
    <row r="155" spans="1:24" s="37" customFormat="1" x14ac:dyDescent="0.25">
      <c r="A155" s="37">
        <v>5</v>
      </c>
      <c r="B155" s="37" t="s">
        <v>388</v>
      </c>
      <c r="C155" s="37" t="s">
        <v>389</v>
      </c>
      <c r="D155" s="38" t="str">
        <f>'9 Kørestrøm'!C19</f>
        <v>STK</v>
      </c>
      <c r="E155" s="37">
        <f>'9 Kørestrøm'!D19</f>
        <v>6</v>
      </c>
      <c r="F155" s="37">
        <f>'9 Kørestrøm'!E19</f>
        <v>0</v>
      </c>
      <c r="G155" s="37">
        <f>'9 Kørestrøm'!F19</f>
        <v>0</v>
      </c>
      <c r="H155" s="37">
        <f>'9 Kørestrøm'!G19</f>
        <v>0</v>
      </c>
      <c r="I155" s="37">
        <f>'9 Kørestrøm'!H19</f>
        <v>0</v>
      </c>
      <c r="J155" s="37">
        <f>'9 Kørestrøm'!I19</f>
        <v>0</v>
      </c>
      <c r="K155" s="37">
        <f>'9 Kørestrøm'!J19</f>
        <v>0</v>
      </c>
      <c r="L155" s="37">
        <f>'9 Kørestrøm'!K19</f>
        <v>1</v>
      </c>
      <c r="M155" s="37">
        <f>'9 Kørestrøm'!L19</f>
        <v>0</v>
      </c>
      <c r="N155" s="37">
        <f>'9 Kørestrøm'!M19</f>
        <v>0</v>
      </c>
      <c r="O155" s="37">
        <f>'9 Kørestrøm'!N19</f>
        <v>0</v>
      </c>
      <c r="P155" s="37">
        <f>'9 Kørestrøm'!O19</f>
        <v>0</v>
      </c>
      <c r="Q155" s="37">
        <f>'9 Kørestrøm'!P19</f>
        <v>0</v>
      </c>
      <c r="R155" s="37">
        <f>'9 Kørestrøm'!Q19</f>
        <v>0</v>
      </c>
      <c r="S155" s="37">
        <f>'9 Kørestrøm'!R19</f>
        <v>7</v>
      </c>
      <c r="T155" s="39">
        <f>'9 Kørestrøm'!S19</f>
        <v>25573</v>
      </c>
      <c r="U155" s="40">
        <f>'9 Kørestrøm'!T19</f>
        <v>179011</v>
      </c>
      <c r="V155" s="37" t="s">
        <v>98</v>
      </c>
      <c r="W155" s="37" t="s">
        <v>822</v>
      </c>
      <c r="X155" s="37" t="s">
        <v>98</v>
      </c>
    </row>
    <row r="156" spans="1:24" s="37" customFormat="1" x14ac:dyDescent="0.25">
      <c r="A156" s="37">
        <v>5</v>
      </c>
      <c r="B156" s="37" t="s">
        <v>390</v>
      </c>
      <c r="C156" s="37" t="s">
        <v>391</v>
      </c>
      <c r="D156" s="38" t="str">
        <f>'9 Kørestrøm'!C20</f>
        <v>SUM</v>
      </c>
      <c r="E156" s="37">
        <f>'9 Kørestrøm'!D20</f>
        <v>1</v>
      </c>
      <c r="F156" s="37">
        <f>'9 Kørestrøm'!E20</f>
        <v>0</v>
      </c>
      <c r="G156" s="37">
        <f>'9 Kørestrøm'!F20</f>
        <v>0</v>
      </c>
      <c r="H156" s="37">
        <f>'9 Kørestrøm'!G20</f>
        <v>0</v>
      </c>
      <c r="I156" s="37">
        <f>'9 Kørestrøm'!H20</f>
        <v>0</v>
      </c>
      <c r="J156" s="37">
        <f>'9 Kørestrøm'!I20</f>
        <v>0</v>
      </c>
      <c r="K156" s="37">
        <f>'9 Kørestrøm'!J20</f>
        <v>0</v>
      </c>
      <c r="L156" s="37">
        <f>'9 Kørestrøm'!K20</f>
        <v>0</v>
      </c>
      <c r="M156" s="37">
        <f>'9 Kørestrøm'!L20</f>
        <v>0</v>
      </c>
      <c r="N156" s="37">
        <f>'9 Kørestrøm'!M20</f>
        <v>0</v>
      </c>
      <c r="O156" s="37">
        <f>'9 Kørestrøm'!N20</f>
        <v>0</v>
      </c>
      <c r="P156" s="37">
        <f>'9 Kørestrøm'!O20</f>
        <v>0</v>
      </c>
      <c r="Q156" s="37">
        <f>'9 Kørestrøm'!P20</f>
        <v>0</v>
      </c>
      <c r="R156" s="37">
        <f>'9 Kørestrøm'!Q20</f>
        <v>0</v>
      </c>
      <c r="S156" s="37">
        <f>'9 Kørestrøm'!R20</f>
        <v>1</v>
      </c>
      <c r="T156" s="39">
        <f>'9 Kørestrøm'!S20</f>
        <v>694535</v>
      </c>
      <c r="U156" s="40">
        <f>'9 Kørestrøm'!T20</f>
        <v>694535</v>
      </c>
      <c r="V156" s="37" t="s">
        <v>98</v>
      </c>
      <c r="W156" s="37" t="s">
        <v>98</v>
      </c>
      <c r="X156" s="37" t="s">
        <v>98</v>
      </c>
    </row>
    <row r="157" spans="1:24" s="36" customFormat="1" x14ac:dyDescent="0.25">
      <c r="A157" s="28">
        <v>4</v>
      </c>
      <c r="B157" s="28" t="s">
        <v>392</v>
      </c>
      <c r="C157" s="28" t="s">
        <v>393</v>
      </c>
      <c r="D157" s="50" t="str">
        <f>'9 Kørestrøm'!C21</f>
        <v/>
      </c>
      <c r="E157" s="28">
        <f>'9 Kørestrøm'!D21</f>
        <v>0</v>
      </c>
      <c r="F157" s="28">
        <f>'9 Kørestrøm'!E21</f>
        <v>0</v>
      </c>
      <c r="G157" s="28">
        <f>'9 Kørestrøm'!F21</f>
        <v>0</v>
      </c>
      <c r="H157" s="28">
        <f>'9 Kørestrøm'!G21</f>
        <v>0</v>
      </c>
      <c r="I157" s="28">
        <f>'9 Kørestrøm'!H21</f>
        <v>0</v>
      </c>
      <c r="J157" s="28">
        <f>'9 Kørestrøm'!I21</f>
        <v>0</v>
      </c>
      <c r="K157" s="28">
        <f>'9 Kørestrøm'!J21</f>
        <v>0</v>
      </c>
      <c r="L157" s="28">
        <f>'9 Kørestrøm'!K21</f>
        <v>0</v>
      </c>
      <c r="M157" s="28">
        <f>'9 Kørestrøm'!L21</f>
        <v>0</v>
      </c>
      <c r="N157" s="28">
        <f>'9 Kørestrøm'!M21</f>
        <v>0</v>
      </c>
      <c r="O157" s="28">
        <f>'9 Kørestrøm'!N21</f>
        <v>0</v>
      </c>
      <c r="P157" s="28">
        <f>'9 Kørestrøm'!O21</f>
        <v>0</v>
      </c>
      <c r="Q157" s="28">
        <f>'9 Kørestrøm'!P21</f>
        <v>0</v>
      </c>
      <c r="R157" s="28">
        <f>'9 Kørestrøm'!Q21</f>
        <v>0</v>
      </c>
      <c r="S157" s="28">
        <f>'9 Kørestrøm'!R21</f>
        <v>0</v>
      </c>
      <c r="T157" s="51">
        <f>'9 Kørestrøm'!S21</f>
        <v>0</v>
      </c>
      <c r="U157" s="52">
        <f>'9 Kørestrøm'!T21</f>
        <v>0</v>
      </c>
      <c r="V157" s="28" t="s">
        <v>98</v>
      </c>
      <c r="W157" s="28" t="s">
        <v>98</v>
      </c>
      <c r="X157" s="28" t="s">
        <v>98</v>
      </c>
    </row>
    <row r="158" spans="1:24" s="37" customFormat="1" x14ac:dyDescent="0.25">
      <c r="A158" s="37">
        <v>5</v>
      </c>
      <c r="B158" s="37" t="s">
        <v>394</v>
      </c>
      <c r="C158" s="37" t="s">
        <v>395</v>
      </c>
      <c r="D158" s="38" t="str">
        <f>'9 Kørestrøm'!C22</f>
        <v/>
      </c>
      <c r="E158" s="37">
        <f>'9 Kørestrøm'!D22</f>
        <v>0</v>
      </c>
      <c r="F158" s="37">
        <f>'9 Kørestrøm'!E22</f>
        <v>0</v>
      </c>
      <c r="G158" s="37">
        <f>'9 Kørestrøm'!F22</f>
        <v>0</v>
      </c>
      <c r="H158" s="37">
        <f>'9 Kørestrøm'!G22</f>
        <v>0</v>
      </c>
      <c r="I158" s="37">
        <f>'9 Kørestrøm'!H22</f>
        <v>0</v>
      </c>
      <c r="J158" s="37">
        <f>'9 Kørestrøm'!I22</f>
        <v>0</v>
      </c>
      <c r="K158" s="37">
        <f>'9 Kørestrøm'!J22</f>
        <v>0</v>
      </c>
      <c r="L158" s="37">
        <f>'9 Kørestrøm'!K22</f>
        <v>0</v>
      </c>
      <c r="M158" s="37">
        <f>'9 Kørestrøm'!L22</f>
        <v>0</v>
      </c>
      <c r="N158" s="37">
        <f>'9 Kørestrøm'!M22</f>
        <v>0</v>
      </c>
      <c r="O158" s="37">
        <f>'9 Kørestrøm'!N22</f>
        <v>0</v>
      </c>
      <c r="P158" s="37">
        <f>'9 Kørestrøm'!O22</f>
        <v>0</v>
      </c>
      <c r="Q158" s="37">
        <f>'9 Kørestrøm'!P22</f>
        <v>0</v>
      </c>
      <c r="R158" s="37">
        <f>'9 Kørestrøm'!Q22</f>
        <v>0</v>
      </c>
      <c r="S158" s="37">
        <f>'9 Kørestrøm'!R22</f>
        <v>0</v>
      </c>
      <c r="T158" s="39">
        <f>'9 Kørestrøm'!S22</f>
        <v>0</v>
      </c>
      <c r="U158" s="40">
        <f>'9 Kørestrøm'!T22</f>
        <v>0</v>
      </c>
      <c r="V158" s="37" t="s">
        <v>98</v>
      </c>
      <c r="W158" s="37" t="s">
        <v>98</v>
      </c>
      <c r="X158" s="37" t="s">
        <v>98</v>
      </c>
    </row>
    <row r="159" spans="1:24" s="36" customFormat="1" x14ac:dyDescent="0.25">
      <c r="A159" s="28">
        <v>4</v>
      </c>
      <c r="B159" s="28" t="s">
        <v>396</v>
      </c>
      <c r="C159" s="28" t="s">
        <v>397</v>
      </c>
      <c r="D159" s="50" t="str">
        <f>'9 Kørestrøm'!C23</f>
        <v/>
      </c>
      <c r="E159" s="28">
        <f>'9 Kørestrøm'!D23</f>
        <v>0</v>
      </c>
      <c r="F159" s="28">
        <f>'9 Kørestrøm'!E23</f>
        <v>0</v>
      </c>
      <c r="G159" s="28">
        <f>'9 Kørestrøm'!F23</f>
        <v>0</v>
      </c>
      <c r="H159" s="28">
        <f>'9 Kørestrøm'!G23</f>
        <v>0</v>
      </c>
      <c r="I159" s="28">
        <f>'9 Kørestrøm'!H23</f>
        <v>0</v>
      </c>
      <c r="J159" s="28">
        <f>'9 Kørestrøm'!I23</f>
        <v>0</v>
      </c>
      <c r="K159" s="28">
        <f>'9 Kørestrøm'!J23</f>
        <v>0</v>
      </c>
      <c r="L159" s="28">
        <f>'9 Kørestrøm'!K23</f>
        <v>0</v>
      </c>
      <c r="M159" s="28">
        <f>'9 Kørestrøm'!L23</f>
        <v>0</v>
      </c>
      <c r="N159" s="28">
        <f>'9 Kørestrøm'!M23</f>
        <v>0</v>
      </c>
      <c r="O159" s="28">
        <f>'9 Kørestrøm'!N23</f>
        <v>0</v>
      </c>
      <c r="P159" s="28">
        <f>'9 Kørestrøm'!O23</f>
        <v>0</v>
      </c>
      <c r="Q159" s="28">
        <f>'9 Kørestrøm'!P23</f>
        <v>0</v>
      </c>
      <c r="R159" s="28">
        <f>'9 Kørestrøm'!Q23</f>
        <v>0</v>
      </c>
      <c r="S159" s="28">
        <f>'9 Kørestrøm'!R23</f>
        <v>0</v>
      </c>
      <c r="T159" s="51">
        <f>'9 Kørestrøm'!S23</f>
        <v>0</v>
      </c>
      <c r="U159" s="52">
        <f>'9 Kørestrøm'!T23</f>
        <v>0</v>
      </c>
      <c r="V159" s="28" t="s">
        <v>98</v>
      </c>
      <c r="W159" s="28" t="s">
        <v>98</v>
      </c>
      <c r="X159" s="28" t="s">
        <v>98</v>
      </c>
    </row>
    <row r="160" spans="1:24" s="37" customFormat="1" x14ac:dyDescent="0.25">
      <c r="A160" s="37">
        <v>5</v>
      </c>
      <c r="B160" s="37" t="s">
        <v>398</v>
      </c>
      <c r="C160" s="37" t="s">
        <v>399</v>
      </c>
      <c r="D160" s="38" t="str">
        <f>'9 Kørestrøm'!C24</f>
        <v>STK</v>
      </c>
      <c r="E160" s="37">
        <f>'9 Kørestrøm'!D24</f>
        <v>0</v>
      </c>
      <c r="F160" s="37">
        <f>'9 Kørestrøm'!E24</f>
        <v>0</v>
      </c>
      <c r="G160" s="37">
        <f>'9 Kørestrøm'!F24</f>
        <v>0</v>
      </c>
      <c r="H160" s="37">
        <f>'9 Kørestrøm'!G24</f>
        <v>7</v>
      </c>
      <c r="I160" s="37">
        <f>'9 Kørestrøm'!H24</f>
        <v>0</v>
      </c>
      <c r="J160" s="37">
        <f>'9 Kørestrøm'!I24</f>
        <v>16</v>
      </c>
      <c r="K160" s="37">
        <f>'9 Kørestrøm'!J24</f>
        <v>0</v>
      </c>
      <c r="L160" s="37">
        <f>'9 Kørestrøm'!K24</f>
        <v>10</v>
      </c>
      <c r="M160" s="37">
        <f>'9 Kørestrøm'!L24</f>
        <v>0</v>
      </c>
      <c r="N160" s="37">
        <f>'9 Kørestrøm'!M24</f>
        <v>0</v>
      </c>
      <c r="O160" s="37">
        <f>'9 Kørestrøm'!N24</f>
        <v>0</v>
      </c>
      <c r="P160" s="37">
        <f>'9 Kørestrøm'!O24</f>
        <v>0</v>
      </c>
      <c r="Q160" s="37">
        <f>'9 Kørestrøm'!P24</f>
        <v>0</v>
      </c>
      <c r="R160" s="37">
        <f>'9 Kørestrøm'!Q24</f>
        <v>0</v>
      </c>
      <c r="S160" s="37">
        <f>'9 Kørestrøm'!R24</f>
        <v>33</v>
      </c>
      <c r="T160" s="39">
        <f>'9 Kørestrøm'!S24</f>
        <v>3041</v>
      </c>
      <c r="U160" s="40">
        <f>'9 Kørestrøm'!T24</f>
        <v>100353</v>
      </c>
      <c r="V160" s="37" t="s">
        <v>98</v>
      </c>
      <c r="W160" s="37" t="s">
        <v>62</v>
      </c>
      <c r="X160" s="37" t="s">
        <v>98</v>
      </c>
    </row>
    <row r="161" spans="1:24" s="37" customFormat="1" x14ac:dyDescent="0.25">
      <c r="A161" s="37">
        <v>5</v>
      </c>
      <c r="B161" s="37" t="s">
        <v>400</v>
      </c>
      <c r="C161" s="37" t="s">
        <v>401</v>
      </c>
      <c r="D161" s="38" t="str">
        <f>'9 Kørestrøm'!C25</f>
        <v>STK</v>
      </c>
      <c r="E161" s="37">
        <f>'9 Kørestrøm'!D25</f>
        <v>0</v>
      </c>
      <c r="F161" s="37">
        <f>'9 Kørestrøm'!E25</f>
        <v>0</v>
      </c>
      <c r="G161" s="37">
        <f>'9 Kørestrøm'!F25</f>
        <v>0</v>
      </c>
      <c r="H161" s="37">
        <f>'9 Kørestrøm'!G25</f>
        <v>7</v>
      </c>
      <c r="I161" s="37">
        <f>'9 Kørestrøm'!H25</f>
        <v>0</v>
      </c>
      <c r="J161" s="37">
        <f>'9 Kørestrøm'!I25</f>
        <v>16</v>
      </c>
      <c r="K161" s="37">
        <f>'9 Kørestrøm'!J25</f>
        <v>0</v>
      </c>
      <c r="L161" s="37">
        <f>'9 Kørestrøm'!K25</f>
        <v>10</v>
      </c>
      <c r="M161" s="37">
        <f>'9 Kørestrøm'!L25</f>
        <v>0</v>
      </c>
      <c r="N161" s="37">
        <f>'9 Kørestrøm'!M25</f>
        <v>0</v>
      </c>
      <c r="O161" s="37">
        <f>'9 Kørestrøm'!N25</f>
        <v>0</v>
      </c>
      <c r="P161" s="37">
        <f>'9 Kørestrøm'!O25</f>
        <v>0</v>
      </c>
      <c r="Q161" s="37">
        <f>'9 Kørestrøm'!P25</f>
        <v>0</v>
      </c>
      <c r="R161" s="37">
        <f>'9 Kørestrøm'!Q25</f>
        <v>0</v>
      </c>
      <c r="S161" s="37">
        <f>'9 Kørestrøm'!R25</f>
        <v>33</v>
      </c>
      <c r="T161" s="39">
        <f>'9 Kørestrøm'!S25</f>
        <v>6624</v>
      </c>
      <c r="U161" s="40">
        <f>'9 Kørestrøm'!T25</f>
        <v>218592</v>
      </c>
      <c r="V161" s="37" t="s">
        <v>98</v>
      </c>
      <c r="W161" s="37" t="s">
        <v>822</v>
      </c>
      <c r="X161" s="37" t="s">
        <v>98</v>
      </c>
    </row>
    <row r="162" spans="1:24" s="37" customFormat="1" x14ac:dyDescent="0.25">
      <c r="A162" s="37">
        <v>5</v>
      </c>
      <c r="B162" s="37" t="s">
        <v>402</v>
      </c>
      <c r="C162" s="37" t="s">
        <v>403</v>
      </c>
      <c r="D162" s="38" t="str">
        <f>'9 Kørestrøm'!C26</f>
        <v/>
      </c>
      <c r="E162" s="37">
        <f>'9 Kørestrøm'!D26</f>
        <v>0</v>
      </c>
      <c r="F162" s="37">
        <f>'9 Kørestrøm'!E26</f>
        <v>0</v>
      </c>
      <c r="G162" s="37">
        <f>'9 Kørestrøm'!F26</f>
        <v>0</v>
      </c>
      <c r="H162" s="37">
        <f>'9 Kørestrøm'!G26</f>
        <v>0</v>
      </c>
      <c r="I162" s="37">
        <f>'9 Kørestrøm'!H26</f>
        <v>0</v>
      </c>
      <c r="J162" s="37">
        <f>'9 Kørestrøm'!I26</f>
        <v>0</v>
      </c>
      <c r="K162" s="37">
        <f>'9 Kørestrøm'!J26</f>
        <v>0</v>
      </c>
      <c r="L162" s="37">
        <f>'9 Kørestrøm'!K26</f>
        <v>0</v>
      </c>
      <c r="M162" s="37">
        <f>'9 Kørestrøm'!L26</f>
        <v>0</v>
      </c>
      <c r="N162" s="37">
        <f>'9 Kørestrøm'!M26</f>
        <v>0</v>
      </c>
      <c r="O162" s="37">
        <f>'9 Kørestrøm'!N26</f>
        <v>0</v>
      </c>
      <c r="P162" s="37">
        <f>'9 Kørestrøm'!O26</f>
        <v>0</v>
      </c>
      <c r="Q162" s="37">
        <f>'9 Kørestrøm'!P26</f>
        <v>0</v>
      </c>
      <c r="R162" s="37">
        <f>'9 Kørestrøm'!Q26</f>
        <v>0</v>
      </c>
      <c r="S162" s="37">
        <f>'9 Kørestrøm'!R26</f>
        <v>0</v>
      </c>
      <c r="T162" s="39">
        <f>'9 Kørestrøm'!S26</f>
        <v>0</v>
      </c>
      <c r="U162" s="40">
        <f>'9 Kørestrøm'!T26</f>
        <v>0</v>
      </c>
      <c r="V162" s="37" t="s">
        <v>98</v>
      </c>
      <c r="W162" s="37" t="s">
        <v>98</v>
      </c>
      <c r="X162" s="37" t="s">
        <v>98</v>
      </c>
    </row>
    <row r="163" spans="1:24" s="37" customFormat="1" x14ac:dyDescent="0.25">
      <c r="A163" s="37">
        <v>6</v>
      </c>
      <c r="B163" s="37" t="s">
        <v>404</v>
      </c>
      <c r="C163" s="37" t="s">
        <v>405</v>
      </c>
      <c r="D163" s="38" t="str">
        <f>'9 Kørestrøm'!C27</f>
        <v>STK</v>
      </c>
      <c r="E163" s="37">
        <f>'9 Kørestrøm'!D27</f>
        <v>0</v>
      </c>
      <c r="F163" s="37">
        <f>'9 Kørestrøm'!E27</f>
        <v>0</v>
      </c>
      <c r="G163" s="37">
        <f>'9 Kørestrøm'!F27</f>
        <v>0</v>
      </c>
      <c r="H163" s="37">
        <f>'9 Kørestrøm'!G27</f>
        <v>23</v>
      </c>
      <c r="I163" s="37">
        <f>'9 Kørestrøm'!H27</f>
        <v>0</v>
      </c>
      <c r="J163" s="37">
        <f>'9 Kørestrøm'!I27</f>
        <v>0</v>
      </c>
      <c r="K163" s="37">
        <f>'9 Kørestrøm'!J27</f>
        <v>0</v>
      </c>
      <c r="L163" s="37">
        <f>'9 Kørestrøm'!K27</f>
        <v>10</v>
      </c>
      <c r="M163" s="37">
        <f>'9 Kørestrøm'!L27</f>
        <v>0</v>
      </c>
      <c r="N163" s="37">
        <f>'9 Kørestrøm'!M27</f>
        <v>0</v>
      </c>
      <c r="O163" s="37">
        <f>'9 Kørestrøm'!N27</f>
        <v>0</v>
      </c>
      <c r="P163" s="37">
        <f>'9 Kørestrøm'!O27</f>
        <v>0</v>
      </c>
      <c r="Q163" s="37">
        <f>'9 Kørestrøm'!P27</f>
        <v>0</v>
      </c>
      <c r="R163" s="37">
        <f>'9 Kørestrøm'!Q27</f>
        <v>0</v>
      </c>
      <c r="S163" s="37">
        <f>'9 Kørestrøm'!R27</f>
        <v>33</v>
      </c>
      <c r="T163" s="39">
        <f>'9 Kørestrøm'!S27</f>
        <v>3312</v>
      </c>
      <c r="U163" s="40">
        <f>'9 Kørestrøm'!T27</f>
        <v>109296</v>
      </c>
      <c r="V163" s="37" t="s">
        <v>98</v>
      </c>
      <c r="W163" s="37" t="s">
        <v>822</v>
      </c>
      <c r="X163" s="37" t="s">
        <v>98</v>
      </c>
    </row>
    <row r="164" spans="1:24" s="37" customFormat="1" x14ac:dyDescent="0.25">
      <c r="A164" s="37">
        <v>5</v>
      </c>
      <c r="B164" s="37" t="s">
        <v>406</v>
      </c>
      <c r="C164" s="37" t="s">
        <v>407</v>
      </c>
      <c r="D164" s="38" t="str">
        <f>'9 Kørestrøm'!C28</f>
        <v>STK</v>
      </c>
      <c r="E164" s="37">
        <f>'9 Kørestrøm'!D28</f>
        <v>0</v>
      </c>
      <c r="F164" s="37">
        <f>'9 Kørestrøm'!E28</f>
        <v>194</v>
      </c>
      <c r="G164" s="37">
        <f>'9 Kørestrøm'!F28</f>
        <v>0</v>
      </c>
      <c r="H164" s="37">
        <f>'9 Kørestrøm'!G28</f>
        <v>194</v>
      </c>
      <c r="I164" s="37">
        <f>'9 Kørestrøm'!H28</f>
        <v>0</v>
      </c>
      <c r="J164" s="37">
        <f>'9 Kørestrøm'!I28</f>
        <v>388</v>
      </c>
      <c r="K164" s="37">
        <f>'9 Kørestrøm'!J28</f>
        <v>0</v>
      </c>
      <c r="L164" s="37">
        <f>'9 Kørestrøm'!K28</f>
        <v>0</v>
      </c>
      <c r="M164" s="37">
        <f>'9 Kørestrøm'!L28</f>
        <v>0</v>
      </c>
      <c r="N164" s="37">
        <f>'9 Kørestrøm'!M28</f>
        <v>0</v>
      </c>
      <c r="O164" s="37">
        <f>'9 Kørestrøm'!N28</f>
        <v>0</v>
      </c>
      <c r="P164" s="37">
        <f>'9 Kørestrøm'!O28</f>
        <v>0</v>
      </c>
      <c r="Q164" s="37">
        <f>'9 Kørestrøm'!P28</f>
        <v>0</v>
      </c>
      <c r="R164" s="37">
        <f>'9 Kørestrøm'!Q28</f>
        <v>0</v>
      </c>
      <c r="S164" s="37">
        <f>'9 Kørestrøm'!R28</f>
        <v>776</v>
      </c>
      <c r="T164" s="39">
        <f>'9 Kørestrøm'!S28</f>
        <v>3280</v>
      </c>
      <c r="U164" s="40">
        <f>'9 Kørestrøm'!T28</f>
        <v>2545280</v>
      </c>
      <c r="V164" s="37" t="s">
        <v>98</v>
      </c>
      <c r="W164" s="37" t="s">
        <v>822</v>
      </c>
      <c r="X164" s="37" t="s">
        <v>98</v>
      </c>
    </row>
    <row r="165" spans="1:24" s="36" customFormat="1" x14ac:dyDescent="0.25">
      <c r="A165" s="28">
        <v>4</v>
      </c>
      <c r="B165" s="28" t="s">
        <v>408</v>
      </c>
      <c r="C165" s="28" t="s">
        <v>409</v>
      </c>
      <c r="D165" s="50" t="str">
        <f>'9 Kørestrøm'!C29</f>
        <v/>
      </c>
      <c r="E165" s="28">
        <f>'9 Kørestrøm'!D29</f>
        <v>0</v>
      </c>
      <c r="F165" s="28">
        <f>'9 Kørestrøm'!E29</f>
        <v>0</v>
      </c>
      <c r="G165" s="28">
        <f>'9 Kørestrøm'!F29</f>
        <v>0</v>
      </c>
      <c r="H165" s="28">
        <f>'9 Kørestrøm'!G29</f>
        <v>0</v>
      </c>
      <c r="I165" s="28">
        <f>'9 Kørestrøm'!H29</f>
        <v>0</v>
      </c>
      <c r="J165" s="28">
        <f>'9 Kørestrøm'!I29</f>
        <v>0</v>
      </c>
      <c r="K165" s="28">
        <f>'9 Kørestrøm'!J29</f>
        <v>0</v>
      </c>
      <c r="L165" s="28">
        <f>'9 Kørestrøm'!K29</f>
        <v>0</v>
      </c>
      <c r="M165" s="28">
        <f>'9 Kørestrøm'!L29</f>
        <v>0</v>
      </c>
      <c r="N165" s="28">
        <f>'9 Kørestrøm'!M29</f>
        <v>0</v>
      </c>
      <c r="O165" s="28">
        <f>'9 Kørestrøm'!N29</f>
        <v>0</v>
      </c>
      <c r="P165" s="28">
        <f>'9 Kørestrøm'!O29</f>
        <v>0</v>
      </c>
      <c r="Q165" s="28">
        <f>'9 Kørestrøm'!P29</f>
        <v>0</v>
      </c>
      <c r="R165" s="28">
        <f>'9 Kørestrøm'!Q29</f>
        <v>0</v>
      </c>
      <c r="S165" s="28">
        <f>'9 Kørestrøm'!R29</f>
        <v>0</v>
      </c>
      <c r="T165" s="51">
        <f>'9 Kørestrøm'!S29</f>
        <v>0</v>
      </c>
      <c r="U165" s="52">
        <f>'9 Kørestrøm'!T29</f>
        <v>0</v>
      </c>
      <c r="V165" s="28" t="s">
        <v>98</v>
      </c>
      <c r="W165" s="28" t="s">
        <v>98</v>
      </c>
      <c r="X165" s="28" t="s">
        <v>98</v>
      </c>
    </row>
    <row r="166" spans="1:24" s="37" customFormat="1" x14ac:dyDescent="0.25">
      <c r="A166" s="37">
        <v>5</v>
      </c>
      <c r="B166" s="37" t="s">
        <v>410</v>
      </c>
      <c r="C166" s="37" t="s">
        <v>411</v>
      </c>
      <c r="D166" s="38" t="str">
        <f>'9 Kørestrøm'!C30</f>
        <v>STK</v>
      </c>
      <c r="E166" s="37">
        <f>'9 Kørestrøm'!D30</f>
        <v>0</v>
      </c>
      <c r="F166" s="37">
        <f>'9 Kørestrøm'!E30</f>
        <v>0</v>
      </c>
      <c r="G166" s="37">
        <f>'9 Kørestrøm'!F30</f>
        <v>0</v>
      </c>
      <c r="H166" s="37">
        <f>'9 Kørestrøm'!G30</f>
        <v>0</v>
      </c>
      <c r="I166" s="37">
        <f>'9 Kørestrøm'!H30</f>
        <v>0</v>
      </c>
      <c r="J166" s="37">
        <f>'9 Kørestrøm'!I30</f>
        <v>0</v>
      </c>
      <c r="K166" s="37">
        <f>'9 Kørestrøm'!J30</f>
        <v>0</v>
      </c>
      <c r="L166" s="37">
        <f>'9 Kørestrøm'!K30</f>
        <v>1</v>
      </c>
      <c r="M166" s="37">
        <f>'9 Kørestrøm'!L30</f>
        <v>0</v>
      </c>
      <c r="N166" s="37">
        <f>'9 Kørestrøm'!M30</f>
        <v>0</v>
      </c>
      <c r="O166" s="37">
        <f>'9 Kørestrøm'!N30</f>
        <v>1</v>
      </c>
      <c r="P166" s="37">
        <f>'9 Kørestrøm'!O30</f>
        <v>0</v>
      </c>
      <c r="Q166" s="37">
        <f>'9 Kørestrøm'!P30</f>
        <v>0</v>
      </c>
      <c r="R166" s="37">
        <f>'9 Kørestrøm'!Q30</f>
        <v>0</v>
      </c>
      <c r="S166" s="37">
        <f>'9 Kørestrøm'!R30</f>
        <v>2</v>
      </c>
      <c r="T166" s="39">
        <f>'9 Kørestrøm'!S30</f>
        <v>13051</v>
      </c>
      <c r="U166" s="40">
        <f>'9 Kørestrøm'!T30</f>
        <v>26102</v>
      </c>
      <c r="V166" s="37" t="s">
        <v>98</v>
      </c>
      <c r="W166" s="37" t="s">
        <v>822</v>
      </c>
      <c r="X166" s="37" t="s">
        <v>98</v>
      </c>
    </row>
    <row r="167" spans="1:24" s="37" customFormat="1" x14ac:dyDescent="0.25">
      <c r="A167" s="37">
        <v>5</v>
      </c>
      <c r="B167" s="37" t="s">
        <v>412</v>
      </c>
      <c r="C167" s="37" t="s">
        <v>413</v>
      </c>
      <c r="D167" s="38" t="str">
        <f>'9 Kørestrøm'!C31</f>
        <v>STK</v>
      </c>
      <c r="E167" s="37">
        <f>'9 Kørestrøm'!D31</f>
        <v>0</v>
      </c>
      <c r="F167" s="37">
        <f>'9 Kørestrøm'!E31</f>
        <v>0</v>
      </c>
      <c r="G167" s="37">
        <f>'9 Kørestrøm'!F31</f>
        <v>0</v>
      </c>
      <c r="H167" s="37">
        <f>'9 Kørestrøm'!G31</f>
        <v>0</v>
      </c>
      <c r="I167" s="37">
        <f>'9 Kørestrøm'!H31</f>
        <v>0</v>
      </c>
      <c r="J167" s="37">
        <f>'9 Kørestrøm'!I31</f>
        <v>0</v>
      </c>
      <c r="K167" s="37">
        <f>'9 Kørestrøm'!J31</f>
        <v>0</v>
      </c>
      <c r="L167" s="37">
        <f>'9 Kørestrøm'!K31</f>
        <v>0</v>
      </c>
      <c r="M167" s="37">
        <f>'9 Kørestrøm'!L31</f>
        <v>0</v>
      </c>
      <c r="N167" s="37">
        <f>'9 Kørestrøm'!M31</f>
        <v>1</v>
      </c>
      <c r="O167" s="37">
        <f>'9 Kørestrøm'!N31</f>
        <v>0</v>
      </c>
      <c r="P167" s="37">
        <f>'9 Kørestrøm'!O31</f>
        <v>0</v>
      </c>
      <c r="Q167" s="37">
        <f>'9 Kørestrøm'!P31</f>
        <v>0</v>
      </c>
      <c r="R167" s="37">
        <f>'9 Kørestrøm'!Q31</f>
        <v>1</v>
      </c>
      <c r="S167" s="37">
        <f>'9 Kørestrøm'!R31</f>
        <v>2</v>
      </c>
      <c r="T167" s="39">
        <f>'9 Kørestrøm'!S31</f>
        <v>6526</v>
      </c>
      <c r="U167" s="40">
        <f>'9 Kørestrøm'!T31</f>
        <v>13052</v>
      </c>
      <c r="V167" s="37" t="s">
        <v>98</v>
      </c>
      <c r="W167" s="37" t="s">
        <v>822</v>
      </c>
      <c r="X167" s="37" t="s">
        <v>98</v>
      </c>
    </row>
    <row r="168" spans="1:24" s="36" customFormat="1" x14ac:dyDescent="0.25">
      <c r="A168" s="28">
        <v>4</v>
      </c>
      <c r="B168" s="28" t="s">
        <v>414</v>
      </c>
      <c r="C168" s="28" t="s">
        <v>415</v>
      </c>
      <c r="D168" s="50" t="str">
        <f>'9 Kørestrøm'!C32</f>
        <v/>
      </c>
      <c r="E168" s="28">
        <f>'9 Kørestrøm'!D32</f>
        <v>0</v>
      </c>
      <c r="F168" s="28">
        <f>'9 Kørestrøm'!E32</f>
        <v>0</v>
      </c>
      <c r="G168" s="28">
        <f>'9 Kørestrøm'!F32</f>
        <v>0</v>
      </c>
      <c r="H168" s="28">
        <f>'9 Kørestrøm'!G32</f>
        <v>0</v>
      </c>
      <c r="I168" s="28">
        <f>'9 Kørestrøm'!H32</f>
        <v>0</v>
      </c>
      <c r="J168" s="28">
        <f>'9 Kørestrøm'!I32</f>
        <v>0</v>
      </c>
      <c r="K168" s="28">
        <f>'9 Kørestrøm'!J32</f>
        <v>0</v>
      </c>
      <c r="L168" s="28">
        <f>'9 Kørestrøm'!K32</f>
        <v>0</v>
      </c>
      <c r="M168" s="28">
        <f>'9 Kørestrøm'!L32</f>
        <v>0</v>
      </c>
      <c r="N168" s="28">
        <f>'9 Kørestrøm'!M32</f>
        <v>0</v>
      </c>
      <c r="O168" s="28">
        <f>'9 Kørestrøm'!N32</f>
        <v>0</v>
      </c>
      <c r="P168" s="28">
        <f>'9 Kørestrøm'!O32</f>
        <v>0</v>
      </c>
      <c r="Q168" s="28">
        <f>'9 Kørestrøm'!P32</f>
        <v>0</v>
      </c>
      <c r="R168" s="28">
        <f>'9 Kørestrøm'!Q32</f>
        <v>0</v>
      </c>
      <c r="S168" s="28">
        <f>'9 Kørestrøm'!R32</f>
        <v>0</v>
      </c>
      <c r="T168" s="51">
        <f>'9 Kørestrøm'!S32</f>
        <v>0</v>
      </c>
      <c r="U168" s="52">
        <f>'9 Kørestrøm'!T32</f>
        <v>0</v>
      </c>
      <c r="V168" s="28" t="s">
        <v>98</v>
      </c>
      <c r="W168" s="28" t="s">
        <v>98</v>
      </c>
      <c r="X168" s="28" t="s">
        <v>98</v>
      </c>
    </row>
    <row r="169" spans="1:24" s="37" customFormat="1" x14ac:dyDescent="0.25">
      <c r="A169" s="37">
        <v>5</v>
      </c>
      <c r="B169" s="37" t="s">
        <v>416</v>
      </c>
      <c r="C169" s="37" t="s">
        <v>417</v>
      </c>
      <c r="D169" s="38" t="str">
        <f>'9 Kørestrøm'!C33</f>
        <v>M</v>
      </c>
      <c r="E169" s="37">
        <f>'9 Kørestrøm'!D33</f>
        <v>40</v>
      </c>
      <c r="F169" s="37">
        <f>'9 Kørestrøm'!E33</f>
        <v>0</v>
      </c>
      <c r="G169" s="37">
        <f>'9 Kørestrøm'!F33</f>
        <v>0</v>
      </c>
      <c r="H169" s="37">
        <f>'9 Kørestrøm'!G33</f>
        <v>0</v>
      </c>
      <c r="I169" s="37">
        <f>'9 Kørestrøm'!H33</f>
        <v>0</v>
      </c>
      <c r="J169" s="37">
        <f>'9 Kørestrøm'!I33</f>
        <v>0</v>
      </c>
      <c r="K169" s="37">
        <f>'9 Kørestrøm'!J33</f>
        <v>0</v>
      </c>
      <c r="L169" s="37">
        <f>'9 Kørestrøm'!K33</f>
        <v>0</v>
      </c>
      <c r="M169" s="37">
        <f>'9 Kørestrøm'!L33</f>
        <v>0</v>
      </c>
      <c r="N169" s="37">
        <f>'9 Kørestrøm'!M33</f>
        <v>0</v>
      </c>
      <c r="O169" s="37">
        <f>'9 Kørestrøm'!N33</f>
        <v>0</v>
      </c>
      <c r="P169" s="37">
        <f>'9 Kørestrøm'!O33</f>
        <v>0</v>
      </c>
      <c r="Q169" s="37">
        <f>'9 Kørestrøm'!P33</f>
        <v>0</v>
      </c>
      <c r="R169" s="37">
        <f>'9 Kørestrøm'!Q33</f>
        <v>0</v>
      </c>
      <c r="S169" s="37">
        <f>'9 Kørestrøm'!R33</f>
        <v>40</v>
      </c>
      <c r="T169" s="39">
        <f>'9 Kørestrøm'!S33</f>
        <v>257</v>
      </c>
      <c r="U169" s="40">
        <f>'9 Kørestrøm'!T33</f>
        <v>10280</v>
      </c>
      <c r="V169" s="37" t="s">
        <v>98</v>
      </c>
      <c r="W169" s="37" t="s">
        <v>822</v>
      </c>
      <c r="X169" s="37" t="s">
        <v>98</v>
      </c>
    </row>
    <row r="170" spans="1:24" s="37" customFormat="1" x14ac:dyDescent="0.25">
      <c r="A170" s="37">
        <v>5</v>
      </c>
      <c r="B170" s="37" t="s">
        <v>418</v>
      </c>
      <c r="C170" s="37" t="s">
        <v>419</v>
      </c>
      <c r="D170" s="38" t="str">
        <f>'9 Kørestrøm'!C34</f>
        <v>M</v>
      </c>
      <c r="E170" s="37">
        <f>'9 Kørestrøm'!D34</f>
        <v>0</v>
      </c>
      <c r="F170" s="37">
        <f>'9 Kørestrøm'!E34</f>
        <v>0</v>
      </c>
      <c r="G170" s="37">
        <f>'9 Kørestrøm'!F34</f>
        <v>0</v>
      </c>
      <c r="H170" s="37">
        <f>'9 Kørestrøm'!G34</f>
        <v>0</v>
      </c>
      <c r="I170" s="37">
        <f>'9 Kørestrøm'!H34</f>
        <v>0</v>
      </c>
      <c r="J170" s="37">
        <f>'9 Kørestrøm'!I34</f>
        <v>0</v>
      </c>
      <c r="K170" s="37">
        <f>'9 Kørestrøm'!J34</f>
        <v>0</v>
      </c>
      <c r="L170" s="37">
        <f>'9 Kørestrøm'!K34</f>
        <v>120</v>
      </c>
      <c r="M170" s="37">
        <f>'9 Kørestrøm'!L34</f>
        <v>0</v>
      </c>
      <c r="N170" s="37">
        <f>'9 Kørestrøm'!M34</f>
        <v>0</v>
      </c>
      <c r="O170" s="37">
        <f>'9 Kørestrøm'!N34</f>
        <v>0</v>
      </c>
      <c r="P170" s="37">
        <f>'9 Kørestrøm'!O34</f>
        <v>0</v>
      </c>
      <c r="Q170" s="37">
        <f>'9 Kørestrøm'!P34</f>
        <v>0</v>
      </c>
      <c r="R170" s="37">
        <f>'9 Kørestrøm'!Q34</f>
        <v>0</v>
      </c>
      <c r="S170" s="37">
        <f>'9 Kørestrøm'!R34</f>
        <v>120</v>
      </c>
      <c r="T170" s="39">
        <f>'9 Kørestrøm'!S34</f>
        <v>54</v>
      </c>
      <c r="U170" s="40">
        <f>'9 Kørestrøm'!T34</f>
        <v>6480</v>
      </c>
      <c r="V170" s="37" t="s">
        <v>98</v>
      </c>
      <c r="W170" s="37" t="s">
        <v>822</v>
      </c>
      <c r="X170" s="37" t="s">
        <v>98</v>
      </c>
    </row>
    <row r="171" spans="1:24" s="37" customFormat="1" x14ac:dyDescent="0.25">
      <c r="A171" s="37">
        <v>5</v>
      </c>
      <c r="B171" s="37" t="s">
        <v>420</v>
      </c>
      <c r="C171" s="37" t="s">
        <v>421</v>
      </c>
      <c r="D171" s="38" t="str">
        <f>'9 Kørestrøm'!C35</f>
        <v>M</v>
      </c>
      <c r="E171" s="37">
        <f>'9 Kørestrøm'!D35</f>
        <v>0</v>
      </c>
      <c r="F171" s="37">
        <f>'9 Kørestrøm'!E35</f>
        <v>0</v>
      </c>
      <c r="G171" s="37">
        <f>'9 Kørestrøm'!F35</f>
        <v>0</v>
      </c>
      <c r="H171" s="37">
        <f>'9 Kørestrøm'!G35</f>
        <v>0</v>
      </c>
      <c r="I171" s="37">
        <f>'9 Kørestrøm'!H35</f>
        <v>0</v>
      </c>
      <c r="J171" s="37">
        <f>'9 Kørestrøm'!I35</f>
        <v>0</v>
      </c>
      <c r="K171" s="37">
        <f>'9 Kørestrøm'!J35</f>
        <v>0</v>
      </c>
      <c r="L171" s="37">
        <f>'9 Kørestrøm'!K35</f>
        <v>60</v>
      </c>
      <c r="M171" s="37">
        <f>'9 Kørestrøm'!L35</f>
        <v>0</v>
      </c>
      <c r="N171" s="37">
        <f>'9 Kørestrøm'!M35</f>
        <v>0</v>
      </c>
      <c r="O171" s="37">
        <f>'9 Kørestrøm'!N35</f>
        <v>0</v>
      </c>
      <c r="P171" s="37">
        <f>'9 Kørestrøm'!O35</f>
        <v>0</v>
      </c>
      <c r="Q171" s="37">
        <f>'9 Kørestrøm'!P35</f>
        <v>0</v>
      </c>
      <c r="R171" s="37">
        <f>'9 Kørestrøm'!Q35</f>
        <v>0</v>
      </c>
      <c r="S171" s="37">
        <f>'9 Kørestrøm'!R35</f>
        <v>60</v>
      </c>
      <c r="T171" s="39">
        <f>'9 Kørestrøm'!S35</f>
        <v>28</v>
      </c>
      <c r="U171" s="40">
        <f>'9 Kørestrøm'!T35</f>
        <v>1680</v>
      </c>
      <c r="V171" s="37" t="s">
        <v>98</v>
      </c>
      <c r="W171" s="37" t="s">
        <v>822</v>
      </c>
      <c r="X171" s="37" t="s">
        <v>98</v>
      </c>
    </row>
    <row r="172" spans="1:24" s="36" customFormat="1" x14ac:dyDescent="0.25">
      <c r="A172" s="28">
        <v>4</v>
      </c>
      <c r="B172" s="28" t="s">
        <v>422</v>
      </c>
      <c r="C172" s="28" t="s">
        <v>423</v>
      </c>
      <c r="D172" s="50" t="str">
        <f>'9 Kørestrøm'!C36</f>
        <v/>
      </c>
      <c r="E172" s="28">
        <f>'9 Kørestrøm'!D36</f>
        <v>0</v>
      </c>
      <c r="F172" s="28">
        <f>'9 Kørestrøm'!E36</f>
        <v>0</v>
      </c>
      <c r="G172" s="28">
        <f>'9 Kørestrøm'!F36</f>
        <v>0</v>
      </c>
      <c r="H172" s="28">
        <f>'9 Kørestrøm'!G36</f>
        <v>0</v>
      </c>
      <c r="I172" s="28">
        <f>'9 Kørestrøm'!H36</f>
        <v>0</v>
      </c>
      <c r="J172" s="28">
        <f>'9 Kørestrøm'!I36</f>
        <v>0</v>
      </c>
      <c r="K172" s="28">
        <f>'9 Kørestrøm'!J36</f>
        <v>0</v>
      </c>
      <c r="L172" s="28">
        <f>'9 Kørestrøm'!K36</f>
        <v>0</v>
      </c>
      <c r="M172" s="28">
        <f>'9 Kørestrøm'!L36</f>
        <v>0</v>
      </c>
      <c r="N172" s="28">
        <f>'9 Kørestrøm'!M36</f>
        <v>0</v>
      </c>
      <c r="O172" s="28">
        <f>'9 Kørestrøm'!N36</f>
        <v>0</v>
      </c>
      <c r="P172" s="28">
        <f>'9 Kørestrøm'!O36</f>
        <v>0</v>
      </c>
      <c r="Q172" s="28">
        <f>'9 Kørestrøm'!P36</f>
        <v>0</v>
      </c>
      <c r="R172" s="28">
        <f>'9 Kørestrøm'!Q36</f>
        <v>0</v>
      </c>
      <c r="S172" s="28">
        <f>'9 Kørestrøm'!R36</f>
        <v>0</v>
      </c>
      <c r="T172" s="51">
        <f>'9 Kørestrøm'!S36</f>
        <v>0</v>
      </c>
      <c r="U172" s="52">
        <f>'9 Kørestrøm'!T36</f>
        <v>0</v>
      </c>
      <c r="V172" s="28" t="s">
        <v>98</v>
      </c>
      <c r="W172" s="28" t="s">
        <v>98</v>
      </c>
      <c r="X172" s="28" t="s">
        <v>98</v>
      </c>
    </row>
    <row r="173" spans="1:24" s="37" customFormat="1" x14ac:dyDescent="0.25">
      <c r="A173" s="37">
        <v>5</v>
      </c>
      <c r="B173" s="37" t="s">
        <v>424</v>
      </c>
      <c r="C173" s="37" t="s">
        <v>425</v>
      </c>
      <c r="D173" s="38" t="str">
        <f>'9 Kørestrøm'!C37</f>
        <v/>
      </c>
      <c r="E173" s="37">
        <f>'9 Kørestrøm'!D37</f>
        <v>0</v>
      </c>
      <c r="F173" s="37">
        <f>'9 Kørestrøm'!E37</f>
        <v>0</v>
      </c>
      <c r="G173" s="37">
        <f>'9 Kørestrøm'!F37</f>
        <v>0</v>
      </c>
      <c r="H173" s="37">
        <f>'9 Kørestrøm'!G37</f>
        <v>0</v>
      </c>
      <c r="I173" s="37">
        <f>'9 Kørestrøm'!H37</f>
        <v>0</v>
      </c>
      <c r="J173" s="37">
        <f>'9 Kørestrøm'!I37</f>
        <v>0</v>
      </c>
      <c r="K173" s="37">
        <f>'9 Kørestrøm'!J37</f>
        <v>0</v>
      </c>
      <c r="L173" s="37">
        <f>'9 Kørestrøm'!K37</f>
        <v>0</v>
      </c>
      <c r="M173" s="37">
        <f>'9 Kørestrøm'!L37</f>
        <v>0</v>
      </c>
      <c r="N173" s="37">
        <f>'9 Kørestrøm'!M37</f>
        <v>0</v>
      </c>
      <c r="O173" s="37">
        <f>'9 Kørestrøm'!N37</f>
        <v>0</v>
      </c>
      <c r="P173" s="37">
        <f>'9 Kørestrøm'!O37</f>
        <v>0</v>
      </c>
      <c r="Q173" s="37">
        <f>'9 Kørestrøm'!P37</f>
        <v>0</v>
      </c>
      <c r="R173" s="37">
        <f>'9 Kørestrøm'!Q37</f>
        <v>0</v>
      </c>
      <c r="S173" s="37">
        <f>'9 Kørestrøm'!R37</f>
        <v>0</v>
      </c>
      <c r="T173" s="39">
        <f>'9 Kørestrøm'!S37</f>
        <v>0</v>
      </c>
      <c r="U173" s="40">
        <f>'9 Kørestrøm'!T37</f>
        <v>0</v>
      </c>
      <c r="V173" s="37" t="s">
        <v>98</v>
      </c>
      <c r="W173" s="37" t="s">
        <v>98</v>
      </c>
      <c r="X173" s="37" t="s">
        <v>98</v>
      </c>
    </row>
    <row r="174" spans="1:24" s="37" customFormat="1" x14ac:dyDescent="0.25">
      <c r="A174" s="37">
        <v>6</v>
      </c>
      <c r="B174" s="37" t="s">
        <v>426</v>
      </c>
      <c r="C174" s="37" t="s">
        <v>427</v>
      </c>
      <c r="D174" s="38" t="str">
        <f>'9 Kørestrøm'!C38</f>
        <v>M</v>
      </c>
      <c r="E174" s="37">
        <f>'9 Kørestrøm'!D38</f>
        <v>0</v>
      </c>
      <c r="F174" s="37">
        <f>'9 Kørestrøm'!E38</f>
        <v>0</v>
      </c>
      <c r="G174" s="37">
        <f>'9 Kørestrøm'!F38</f>
        <v>0</v>
      </c>
      <c r="H174" s="37">
        <f>'9 Kørestrøm'!G38</f>
        <v>0</v>
      </c>
      <c r="I174" s="37">
        <f>'9 Kørestrøm'!H38</f>
        <v>0</v>
      </c>
      <c r="J174" s="37">
        <f>'9 Kørestrøm'!I38</f>
        <v>0</v>
      </c>
      <c r="K174" s="37">
        <f>'9 Kørestrøm'!J38</f>
        <v>0</v>
      </c>
      <c r="L174" s="37">
        <f>'9 Kørestrøm'!K38</f>
        <v>50</v>
      </c>
      <c r="M174" s="37">
        <f>'9 Kørestrøm'!L38</f>
        <v>0</v>
      </c>
      <c r="N174" s="37">
        <f>'9 Kørestrøm'!M38</f>
        <v>0</v>
      </c>
      <c r="O174" s="37">
        <f>'9 Kørestrøm'!N38</f>
        <v>0</v>
      </c>
      <c r="P174" s="37">
        <f>'9 Kørestrøm'!O38</f>
        <v>0</v>
      </c>
      <c r="Q174" s="37">
        <f>'9 Kørestrøm'!P38</f>
        <v>0</v>
      </c>
      <c r="R174" s="37">
        <f>'9 Kørestrøm'!Q38</f>
        <v>0</v>
      </c>
      <c r="S174" s="37">
        <f>'9 Kørestrøm'!R38</f>
        <v>50</v>
      </c>
      <c r="T174" s="39">
        <f>'9 Kørestrøm'!S38</f>
        <v>42</v>
      </c>
      <c r="U174" s="40">
        <f>'9 Kørestrøm'!T38</f>
        <v>2100</v>
      </c>
      <c r="V174" s="37" t="s">
        <v>98</v>
      </c>
      <c r="W174" s="37" t="s">
        <v>822</v>
      </c>
      <c r="X174" s="37" t="s">
        <v>98</v>
      </c>
    </row>
    <row r="175" spans="1:24" s="36" customFormat="1" x14ac:dyDescent="0.25">
      <c r="A175" s="28">
        <v>4</v>
      </c>
      <c r="B175" s="28" t="s">
        <v>428</v>
      </c>
      <c r="C175" s="28" t="s">
        <v>429</v>
      </c>
      <c r="D175" s="50" t="str">
        <f>'9 Kørestrøm'!C39</f>
        <v/>
      </c>
      <c r="E175" s="28">
        <f>'9 Kørestrøm'!D39</f>
        <v>0</v>
      </c>
      <c r="F175" s="28">
        <f>'9 Kørestrøm'!E39</f>
        <v>0</v>
      </c>
      <c r="G175" s="28">
        <f>'9 Kørestrøm'!F39</f>
        <v>0</v>
      </c>
      <c r="H175" s="28">
        <f>'9 Kørestrøm'!G39</f>
        <v>0</v>
      </c>
      <c r="I175" s="28">
        <f>'9 Kørestrøm'!H39</f>
        <v>0</v>
      </c>
      <c r="J175" s="28">
        <f>'9 Kørestrøm'!I39</f>
        <v>0</v>
      </c>
      <c r="K175" s="28">
        <f>'9 Kørestrøm'!J39</f>
        <v>0</v>
      </c>
      <c r="L175" s="28">
        <f>'9 Kørestrøm'!K39</f>
        <v>0</v>
      </c>
      <c r="M175" s="28">
        <f>'9 Kørestrøm'!L39</f>
        <v>0</v>
      </c>
      <c r="N175" s="28">
        <f>'9 Kørestrøm'!M39</f>
        <v>0</v>
      </c>
      <c r="O175" s="28">
        <f>'9 Kørestrøm'!N39</f>
        <v>0</v>
      </c>
      <c r="P175" s="28">
        <f>'9 Kørestrøm'!O39</f>
        <v>0</v>
      </c>
      <c r="Q175" s="28">
        <f>'9 Kørestrøm'!P39</f>
        <v>0</v>
      </c>
      <c r="R175" s="28">
        <f>'9 Kørestrøm'!Q39</f>
        <v>0</v>
      </c>
      <c r="S175" s="28">
        <f>'9 Kørestrøm'!R39</f>
        <v>0</v>
      </c>
      <c r="T175" s="51">
        <f>'9 Kørestrøm'!S39</f>
        <v>0</v>
      </c>
      <c r="U175" s="52">
        <f>'9 Kørestrøm'!T39</f>
        <v>0</v>
      </c>
      <c r="V175" s="28" t="s">
        <v>98</v>
      </c>
      <c r="W175" s="28" t="s">
        <v>98</v>
      </c>
      <c r="X175" s="28" t="s">
        <v>98</v>
      </c>
    </row>
    <row r="176" spans="1:24" s="37" customFormat="1" x14ac:dyDescent="0.25">
      <c r="A176" s="37">
        <v>5</v>
      </c>
      <c r="B176" s="37" t="s">
        <v>430</v>
      </c>
      <c r="C176" s="37" t="s">
        <v>425</v>
      </c>
      <c r="D176" s="38" t="str">
        <f>'9 Kørestrøm'!C40</f>
        <v/>
      </c>
      <c r="E176" s="37">
        <f>'9 Kørestrøm'!D40</f>
        <v>0</v>
      </c>
      <c r="F176" s="37">
        <f>'9 Kørestrøm'!E40</f>
        <v>0</v>
      </c>
      <c r="G176" s="37">
        <f>'9 Kørestrøm'!F40</f>
        <v>0</v>
      </c>
      <c r="H176" s="37">
        <f>'9 Kørestrøm'!G40</f>
        <v>0</v>
      </c>
      <c r="I176" s="37">
        <f>'9 Kørestrøm'!H40</f>
        <v>0</v>
      </c>
      <c r="J176" s="37">
        <f>'9 Kørestrøm'!I40</f>
        <v>0</v>
      </c>
      <c r="K176" s="37">
        <f>'9 Kørestrøm'!J40</f>
        <v>0</v>
      </c>
      <c r="L176" s="37">
        <f>'9 Kørestrøm'!K40</f>
        <v>0</v>
      </c>
      <c r="M176" s="37">
        <f>'9 Kørestrøm'!L40</f>
        <v>0</v>
      </c>
      <c r="N176" s="37">
        <f>'9 Kørestrøm'!M40</f>
        <v>0</v>
      </c>
      <c r="O176" s="37">
        <f>'9 Kørestrøm'!N40</f>
        <v>0</v>
      </c>
      <c r="P176" s="37">
        <f>'9 Kørestrøm'!O40</f>
        <v>0</v>
      </c>
      <c r="Q176" s="37">
        <f>'9 Kørestrøm'!P40</f>
        <v>0</v>
      </c>
      <c r="R176" s="37">
        <f>'9 Kørestrøm'!Q40</f>
        <v>0</v>
      </c>
      <c r="S176" s="37">
        <f>'9 Kørestrøm'!R40</f>
        <v>0</v>
      </c>
      <c r="T176" s="39">
        <f>'9 Kørestrøm'!S40</f>
        <v>0</v>
      </c>
      <c r="U176" s="40">
        <f>'9 Kørestrøm'!T40</f>
        <v>0</v>
      </c>
      <c r="V176" s="37" t="s">
        <v>98</v>
      </c>
      <c r="W176" s="37" t="s">
        <v>98</v>
      </c>
      <c r="X176" s="37" t="s">
        <v>98</v>
      </c>
    </row>
    <row r="177" spans="1:24" s="37" customFormat="1" x14ac:dyDescent="0.25">
      <c r="A177" s="37">
        <v>6</v>
      </c>
      <c r="B177" s="37" t="s">
        <v>431</v>
      </c>
      <c r="C177" s="37" t="s">
        <v>432</v>
      </c>
      <c r="D177" s="38" t="str">
        <f>'9 Kørestrøm'!C41</f>
        <v>M</v>
      </c>
      <c r="E177" s="37">
        <f>'9 Kørestrøm'!D41</f>
        <v>0</v>
      </c>
      <c r="F177" s="37">
        <f>'9 Kørestrøm'!E41</f>
        <v>0</v>
      </c>
      <c r="G177" s="37">
        <f>'9 Kørestrøm'!F41</f>
        <v>0</v>
      </c>
      <c r="H177" s="37">
        <f>'9 Kørestrøm'!G41</f>
        <v>0</v>
      </c>
      <c r="I177" s="37">
        <f>'9 Kørestrøm'!H41</f>
        <v>0</v>
      </c>
      <c r="J177" s="37">
        <f>'9 Kørestrøm'!I41</f>
        <v>0</v>
      </c>
      <c r="K177" s="37">
        <f>'9 Kørestrøm'!J41</f>
        <v>0</v>
      </c>
      <c r="L177" s="37">
        <f>'9 Kørestrøm'!K41</f>
        <v>900</v>
      </c>
      <c r="M177" s="37">
        <f>'9 Kørestrøm'!L41</f>
        <v>0</v>
      </c>
      <c r="N177" s="37">
        <f>'9 Kørestrøm'!M41</f>
        <v>0</v>
      </c>
      <c r="O177" s="37">
        <f>'9 Kørestrøm'!N41</f>
        <v>0</v>
      </c>
      <c r="P177" s="37">
        <f>'9 Kørestrøm'!O41</f>
        <v>0</v>
      </c>
      <c r="Q177" s="37">
        <f>'9 Kørestrøm'!P41</f>
        <v>0</v>
      </c>
      <c r="R177" s="37">
        <f>'9 Kørestrøm'!Q41</f>
        <v>0</v>
      </c>
      <c r="S177" s="37">
        <f>'9 Kørestrøm'!R41</f>
        <v>900</v>
      </c>
      <c r="T177" s="39">
        <f>'9 Kørestrøm'!S41</f>
        <v>42</v>
      </c>
      <c r="U177" s="40">
        <f>'9 Kørestrøm'!T41</f>
        <v>37800</v>
      </c>
      <c r="V177" s="37" t="s">
        <v>98</v>
      </c>
      <c r="W177" s="37" t="s">
        <v>822</v>
      </c>
      <c r="X177" s="37" t="s">
        <v>98</v>
      </c>
    </row>
    <row r="178" spans="1:24" s="37" customFormat="1" x14ac:dyDescent="0.25">
      <c r="A178" s="37">
        <v>5</v>
      </c>
      <c r="B178" s="37" t="s">
        <v>433</v>
      </c>
      <c r="C178" s="37" t="s">
        <v>434</v>
      </c>
      <c r="D178" s="38" t="str">
        <f>'9 Kørestrøm'!C42</f>
        <v/>
      </c>
      <c r="E178" s="37">
        <f>'9 Kørestrøm'!D42</f>
        <v>0</v>
      </c>
      <c r="F178" s="37">
        <f>'9 Kørestrøm'!E42</f>
        <v>0</v>
      </c>
      <c r="G178" s="37">
        <f>'9 Kørestrøm'!F42</f>
        <v>0</v>
      </c>
      <c r="H178" s="37">
        <f>'9 Kørestrøm'!G42</f>
        <v>0</v>
      </c>
      <c r="I178" s="37">
        <f>'9 Kørestrøm'!H42</f>
        <v>0</v>
      </c>
      <c r="J178" s="37">
        <f>'9 Kørestrøm'!I42</f>
        <v>0</v>
      </c>
      <c r="K178" s="37">
        <f>'9 Kørestrøm'!J42</f>
        <v>0</v>
      </c>
      <c r="L178" s="37">
        <f>'9 Kørestrøm'!K42</f>
        <v>0</v>
      </c>
      <c r="M178" s="37">
        <f>'9 Kørestrøm'!L42</f>
        <v>0</v>
      </c>
      <c r="N178" s="37">
        <f>'9 Kørestrøm'!M42</f>
        <v>0</v>
      </c>
      <c r="O178" s="37">
        <f>'9 Kørestrøm'!N42</f>
        <v>0</v>
      </c>
      <c r="P178" s="37">
        <f>'9 Kørestrøm'!O42</f>
        <v>0</v>
      </c>
      <c r="Q178" s="37">
        <f>'9 Kørestrøm'!P42</f>
        <v>0</v>
      </c>
      <c r="R178" s="37">
        <f>'9 Kørestrøm'!Q42</f>
        <v>0</v>
      </c>
      <c r="S178" s="37">
        <f>'9 Kørestrøm'!R42</f>
        <v>0</v>
      </c>
      <c r="T178" s="39">
        <f>'9 Kørestrøm'!S42</f>
        <v>0</v>
      </c>
      <c r="U178" s="40">
        <f>'9 Kørestrøm'!T42</f>
        <v>0</v>
      </c>
      <c r="V178" s="37" t="s">
        <v>98</v>
      </c>
      <c r="W178" s="37" t="s">
        <v>98</v>
      </c>
      <c r="X178" s="37" t="s">
        <v>98</v>
      </c>
    </row>
    <row r="179" spans="1:24" s="37" customFormat="1" x14ac:dyDescent="0.25">
      <c r="A179" s="37">
        <v>6</v>
      </c>
      <c r="B179" s="37" t="s">
        <v>435</v>
      </c>
      <c r="C179" s="37" t="s">
        <v>436</v>
      </c>
      <c r="D179" s="38" t="str">
        <f>'9 Kørestrøm'!C43</f>
        <v>STK</v>
      </c>
      <c r="E179" s="37">
        <f>'9 Kørestrøm'!D43</f>
        <v>30</v>
      </c>
      <c r="F179" s="37">
        <f>'9 Kørestrøm'!E43</f>
        <v>0</v>
      </c>
      <c r="G179" s="37">
        <f>'9 Kørestrøm'!F43</f>
        <v>0</v>
      </c>
      <c r="H179" s="37">
        <f>'9 Kørestrøm'!G43</f>
        <v>0</v>
      </c>
      <c r="I179" s="37">
        <f>'9 Kørestrøm'!H43</f>
        <v>0</v>
      </c>
      <c r="J179" s="37">
        <f>'9 Kørestrøm'!I43</f>
        <v>0</v>
      </c>
      <c r="K179" s="37">
        <f>'9 Kørestrøm'!J43</f>
        <v>0</v>
      </c>
      <c r="L179" s="37">
        <f>'9 Kørestrøm'!K43</f>
        <v>0</v>
      </c>
      <c r="M179" s="37">
        <f>'9 Kørestrøm'!L43</f>
        <v>0</v>
      </c>
      <c r="N179" s="37">
        <f>'9 Kørestrøm'!M43</f>
        <v>484</v>
      </c>
      <c r="O179" s="37">
        <f>'9 Kørestrøm'!N43</f>
        <v>0</v>
      </c>
      <c r="P179" s="37">
        <f>'9 Kørestrøm'!O43</f>
        <v>0</v>
      </c>
      <c r="Q179" s="37">
        <f>'9 Kørestrøm'!P43</f>
        <v>0</v>
      </c>
      <c r="R179" s="37">
        <f>'9 Kørestrøm'!Q43</f>
        <v>500</v>
      </c>
      <c r="S179" s="37">
        <f>'9 Kørestrøm'!R43</f>
        <v>1014</v>
      </c>
      <c r="T179" s="39">
        <f>'9 Kørestrøm'!S43</f>
        <v>1899</v>
      </c>
      <c r="U179" s="40">
        <f>'9 Kørestrøm'!T43</f>
        <v>1925586</v>
      </c>
      <c r="V179" s="37" t="s">
        <v>98</v>
      </c>
      <c r="W179" s="37" t="s">
        <v>62</v>
      </c>
      <c r="X179" s="37" t="s">
        <v>98</v>
      </c>
    </row>
    <row r="180" spans="1:24" s="37" customFormat="1" x14ac:dyDescent="0.25">
      <c r="A180" s="37">
        <v>5</v>
      </c>
      <c r="B180" s="37" t="s">
        <v>437</v>
      </c>
      <c r="C180" s="37" t="s">
        <v>438</v>
      </c>
      <c r="D180" s="38" t="str">
        <f>'9 Kørestrøm'!C44</f>
        <v/>
      </c>
      <c r="E180" s="37">
        <f>'9 Kørestrøm'!D44</f>
        <v>0</v>
      </c>
      <c r="F180" s="37">
        <f>'9 Kørestrøm'!E44</f>
        <v>0</v>
      </c>
      <c r="G180" s="37">
        <f>'9 Kørestrøm'!F44</f>
        <v>0</v>
      </c>
      <c r="H180" s="37">
        <f>'9 Kørestrøm'!G44</f>
        <v>0</v>
      </c>
      <c r="I180" s="37">
        <f>'9 Kørestrøm'!H44</f>
        <v>0</v>
      </c>
      <c r="J180" s="37">
        <f>'9 Kørestrøm'!I44</f>
        <v>0</v>
      </c>
      <c r="K180" s="37">
        <f>'9 Kørestrøm'!J44</f>
        <v>0</v>
      </c>
      <c r="L180" s="37">
        <f>'9 Kørestrøm'!K44</f>
        <v>0</v>
      </c>
      <c r="M180" s="37">
        <f>'9 Kørestrøm'!L44</f>
        <v>0</v>
      </c>
      <c r="N180" s="37">
        <f>'9 Kørestrøm'!M44</f>
        <v>0</v>
      </c>
      <c r="O180" s="37">
        <f>'9 Kørestrøm'!N44</f>
        <v>0</v>
      </c>
      <c r="P180" s="37">
        <f>'9 Kørestrøm'!O44</f>
        <v>0</v>
      </c>
      <c r="Q180" s="37">
        <f>'9 Kørestrøm'!P44</f>
        <v>0</v>
      </c>
      <c r="R180" s="37">
        <f>'9 Kørestrøm'!Q44</f>
        <v>0</v>
      </c>
      <c r="S180" s="37">
        <f>'9 Kørestrøm'!R44</f>
        <v>0</v>
      </c>
      <c r="T180" s="39">
        <f>'9 Kørestrøm'!S44</f>
        <v>0</v>
      </c>
      <c r="U180" s="40">
        <f>'9 Kørestrøm'!T44</f>
        <v>0</v>
      </c>
      <c r="V180" s="37" t="s">
        <v>98</v>
      </c>
      <c r="W180" s="37" t="s">
        <v>98</v>
      </c>
      <c r="X180" s="37" t="s">
        <v>98</v>
      </c>
    </row>
    <row r="181" spans="1:24" s="37" customFormat="1" x14ac:dyDescent="0.25">
      <c r="A181" s="37">
        <v>6</v>
      </c>
      <c r="B181" s="37" t="s">
        <v>439</v>
      </c>
      <c r="C181" s="37" t="s">
        <v>440</v>
      </c>
      <c r="D181" s="38" t="str">
        <f>'9 Kørestrøm'!C45</f>
        <v>M</v>
      </c>
      <c r="E181" s="37">
        <f>'9 Kørestrøm'!D45</f>
        <v>0</v>
      </c>
      <c r="F181" s="37">
        <f>'9 Kørestrøm'!E45</f>
        <v>0</v>
      </c>
      <c r="G181" s="37">
        <f>'9 Kørestrøm'!F45</f>
        <v>0</v>
      </c>
      <c r="H181" s="37">
        <f>'9 Kørestrøm'!G45</f>
        <v>0</v>
      </c>
      <c r="I181" s="37">
        <f>'9 Kørestrøm'!H45</f>
        <v>0</v>
      </c>
      <c r="J181" s="37">
        <f>'9 Kørestrøm'!I45</f>
        <v>0</v>
      </c>
      <c r="K181" s="37">
        <f>'9 Kørestrøm'!J45</f>
        <v>0</v>
      </c>
      <c r="L181" s="37">
        <f>'9 Kørestrøm'!K45</f>
        <v>116</v>
      </c>
      <c r="M181" s="37">
        <f>'9 Kørestrøm'!L45</f>
        <v>0</v>
      </c>
      <c r="N181" s="37">
        <f>'9 Kørestrøm'!M45</f>
        <v>0</v>
      </c>
      <c r="O181" s="37">
        <f>'9 Kørestrøm'!N45</f>
        <v>0</v>
      </c>
      <c r="P181" s="37">
        <f>'9 Kørestrøm'!O45</f>
        <v>0</v>
      </c>
      <c r="Q181" s="37">
        <f>'9 Kørestrøm'!P45</f>
        <v>0</v>
      </c>
      <c r="R181" s="37">
        <f>'9 Kørestrøm'!Q45</f>
        <v>0</v>
      </c>
      <c r="S181" s="37">
        <f>'9 Kørestrøm'!R45</f>
        <v>116</v>
      </c>
      <c r="T181" s="39">
        <f>'9 Kørestrøm'!S45</f>
        <v>424</v>
      </c>
      <c r="U181" s="40">
        <f>'9 Kørestrøm'!T45</f>
        <v>49184</v>
      </c>
      <c r="V181" s="37" t="s">
        <v>98</v>
      </c>
      <c r="W181" s="37" t="s">
        <v>62</v>
      </c>
      <c r="X181" s="37" t="s">
        <v>98</v>
      </c>
    </row>
    <row r="182" spans="1:24" s="36" customFormat="1" x14ac:dyDescent="0.25">
      <c r="A182" s="28">
        <v>4</v>
      </c>
      <c r="B182" s="28" t="s">
        <v>441</v>
      </c>
      <c r="C182" s="28" t="s">
        <v>442</v>
      </c>
      <c r="D182" s="50" t="str">
        <f>'9 Kørestrøm'!C46</f>
        <v/>
      </c>
      <c r="E182" s="28">
        <f>'9 Kørestrøm'!D46</f>
        <v>0</v>
      </c>
      <c r="F182" s="28">
        <f>'9 Kørestrøm'!E46</f>
        <v>0</v>
      </c>
      <c r="G182" s="28">
        <f>'9 Kørestrøm'!F46</f>
        <v>0</v>
      </c>
      <c r="H182" s="28">
        <f>'9 Kørestrøm'!G46</f>
        <v>0</v>
      </c>
      <c r="I182" s="28">
        <f>'9 Kørestrøm'!H46</f>
        <v>0</v>
      </c>
      <c r="J182" s="28">
        <f>'9 Kørestrøm'!I46</f>
        <v>0</v>
      </c>
      <c r="K182" s="28">
        <f>'9 Kørestrøm'!J46</f>
        <v>0</v>
      </c>
      <c r="L182" s="28">
        <f>'9 Kørestrøm'!K46</f>
        <v>0</v>
      </c>
      <c r="M182" s="28">
        <f>'9 Kørestrøm'!L46</f>
        <v>0</v>
      </c>
      <c r="N182" s="28">
        <f>'9 Kørestrøm'!M46</f>
        <v>0</v>
      </c>
      <c r="O182" s="28">
        <f>'9 Kørestrøm'!N46</f>
        <v>0</v>
      </c>
      <c r="P182" s="28">
        <f>'9 Kørestrøm'!O46</f>
        <v>0</v>
      </c>
      <c r="Q182" s="28">
        <f>'9 Kørestrøm'!P46</f>
        <v>0</v>
      </c>
      <c r="R182" s="28">
        <f>'9 Kørestrøm'!Q46</f>
        <v>0</v>
      </c>
      <c r="S182" s="28">
        <f>'9 Kørestrøm'!R46</f>
        <v>0</v>
      </c>
      <c r="T182" s="51">
        <f>'9 Kørestrøm'!S46</f>
        <v>0</v>
      </c>
      <c r="U182" s="52">
        <f>'9 Kørestrøm'!T46</f>
        <v>0</v>
      </c>
      <c r="V182" s="28" t="s">
        <v>98</v>
      </c>
      <c r="W182" s="28" t="s">
        <v>98</v>
      </c>
      <c r="X182" s="28" t="s">
        <v>98</v>
      </c>
    </row>
    <row r="183" spans="1:24" s="37" customFormat="1" x14ac:dyDescent="0.25">
      <c r="A183" s="37">
        <v>5</v>
      </c>
      <c r="B183" s="37" t="s">
        <v>443</v>
      </c>
      <c r="C183" s="37" t="s">
        <v>444</v>
      </c>
      <c r="D183" s="38" t="str">
        <f>'9 Kørestrøm'!C47</f>
        <v/>
      </c>
      <c r="E183" s="37">
        <f>'9 Kørestrøm'!D47</f>
        <v>0</v>
      </c>
      <c r="F183" s="37">
        <f>'9 Kørestrøm'!E47</f>
        <v>0</v>
      </c>
      <c r="G183" s="37">
        <f>'9 Kørestrøm'!F47</f>
        <v>0</v>
      </c>
      <c r="H183" s="37">
        <f>'9 Kørestrøm'!G47</f>
        <v>0</v>
      </c>
      <c r="I183" s="37">
        <f>'9 Kørestrøm'!H47</f>
        <v>0</v>
      </c>
      <c r="J183" s="37">
        <f>'9 Kørestrøm'!I47</f>
        <v>0</v>
      </c>
      <c r="K183" s="37">
        <f>'9 Kørestrøm'!J47</f>
        <v>0</v>
      </c>
      <c r="L183" s="37">
        <f>'9 Kørestrøm'!K47</f>
        <v>0</v>
      </c>
      <c r="M183" s="37">
        <f>'9 Kørestrøm'!L47</f>
        <v>0</v>
      </c>
      <c r="N183" s="37">
        <f>'9 Kørestrøm'!M47</f>
        <v>0</v>
      </c>
      <c r="O183" s="37">
        <f>'9 Kørestrøm'!N47</f>
        <v>0</v>
      </c>
      <c r="P183" s="37">
        <f>'9 Kørestrøm'!O47</f>
        <v>0</v>
      </c>
      <c r="Q183" s="37">
        <f>'9 Kørestrøm'!P47</f>
        <v>0</v>
      </c>
      <c r="R183" s="37">
        <f>'9 Kørestrøm'!Q47</f>
        <v>0</v>
      </c>
      <c r="S183" s="37">
        <f>'9 Kørestrøm'!R47</f>
        <v>0</v>
      </c>
      <c r="T183" s="39">
        <f>'9 Kørestrøm'!S47</f>
        <v>0</v>
      </c>
      <c r="U183" s="40">
        <f>'9 Kørestrøm'!T47</f>
        <v>0</v>
      </c>
      <c r="V183" s="37" t="s">
        <v>98</v>
      </c>
      <c r="W183" s="37" t="s">
        <v>98</v>
      </c>
      <c r="X183" s="37" t="s">
        <v>98</v>
      </c>
    </row>
    <row r="184" spans="1:24" s="37" customFormat="1" x14ac:dyDescent="0.25">
      <c r="A184" s="37">
        <v>6</v>
      </c>
      <c r="B184" s="37" t="s">
        <v>445</v>
      </c>
      <c r="C184" s="37" t="s">
        <v>446</v>
      </c>
      <c r="D184" s="38" t="str">
        <f>'9 Kørestrøm'!C48</f>
        <v>SUM</v>
      </c>
      <c r="E184" s="37">
        <f>'9 Kørestrøm'!D48</f>
        <v>0</v>
      </c>
      <c r="F184" s="37">
        <f>'9 Kørestrøm'!E48</f>
        <v>2</v>
      </c>
      <c r="G184" s="37">
        <f>'9 Kørestrøm'!F48</f>
        <v>0</v>
      </c>
      <c r="H184" s="37">
        <f>'9 Kørestrøm'!G48</f>
        <v>2</v>
      </c>
      <c r="I184" s="37">
        <f>'9 Kørestrøm'!H48</f>
        <v>0</v>
      </c>
      <c r="J184" s="37">
        <f>'9 Kørestrøm'!I48</f>
        <v>1</v>
      </c>
      <c r="K184" s="37">
        <f>'9 Kørestrøm'!J48</f>
        <v>0</v>
      </c>
      <c r="L184" s="37">
        <f>'9 Kørestrøm'!K48</f>
        <v>0</v>
      </c>
      <c r="M184" s="37">
        <f>'9 Kørestrøm'!L48</f>
        <v>0</v>
      </c>
      <c r="N184" s="37">
        <f>'9 Kørestrøm'!M48</f>
        <v>0</v>
      </c>
      <c r="O184" s="37">
        <f>'9 Kørestrøm'!N48</f>
        <v>0</v>
      </c>
      <c r="P184" s="37">
        <f>'9 Kørestrøm'!O48</f>
        <v>0</v>
      </c>
      <c r="Q184" s="37">
        <f>'9 Kørestrøm'!P48</f>
        <v>0</v>
      </c>
      <c r="R184" s="37">
        <f>'9 Kørestrøm'!Q48</f>
        <v>0</v>
      </c>
      <c r="S184" s="37">
        <f>'9 Kørestrøm'!R48</f>
        <v>5</v>
      </c>
      <c r="T184" s="39">
        <f>'9 Kørestrøm'!S48</f>
        <v>17625</v>
      </c>
      <c r="U184" s="40">
        <f>'9 Kørestrøm'!T48</f>
        <v>88125</v>
      </c>
      <c r="V184" s="37" t="s">
        <v>98</v>
      </c>
      <c r="W184" s="37" t="s">
        <v>98</v>
      </c>
      <c r="X184" s="37" t="s">
        <v>98</v>
      </c>
    </row>
    <row r="185" spans="1:24" s="37" customFormat="1" x14ac:dyDescent="0.25">
      <c r="A185" s="37">
        <v>5</v>
      </c>
      <c r="B185" s="37" t="s">
        <v>447</v>
      </c>
      <c r="C185" s="37" t="s">
        <v>448</v>
      </c>
      <c r="D185" s="38" t="str">
        <f>'9 Kørestrøm'!C49</f>
        <v/>
      </c>
      <c r="E185" s="37">
        <f>'9 Kørestrøm'!D49</f>
        <v>0</v>
      </c>
      <c r="F185" s="37">
        <f>'9 Kørestrøm'!E49</f>
        <v>0</v>
      </c>
      <c r="G185" s="37">
        <f>'9 Kørestrøm'!F49</f>
        <v>0</v>
      </c>
      <c r="H185" s="37">
        <f>'9 Kørestrøm'!G49</f>
        <v>0</v>
      </c>
      <c r="I185" s="37">
        <f>'9 Kørestrøm'!H49</f>
        <v>0</v>
      </c>
      <c r="J185" s="37">
        <f>'9 Kørestrøm'!I49</f>
        <v>0</v>
      </c>
      <c r="K185" s="37">
        <f>'9 Kørestrøm'!J49</f>
        <v>0</v>
      </c>
      <c r="L185" s="37">
        <f>'9 Kørestrøm'!K49</f>
        <v>0</v>
      </c>
      <c r="M185" s="37">
        <f>'9 Kørestrøm'!L49</f>
        <v>0</v>
      </c>
      <c r="N185" s="37">
        <f>'9 Kørestrøm'!M49</f>
        <v>0</v>
      </c>
      <c r="O185" s="37">
        <f>'9 Kørestrøm'!N49</f>
        <v>0</v>
      </c>
      <c r="P185" s="37">
        <f>'9 Kørestrøm'!O49</f>
        <v>0</v>
      </c>
      <c r="Q185" s="37">
        <f>'9 Kørestrøm'!P49</f>
        <v>0</v>
      </c>
      <c r="R185" s="37">
        <f>'9 Kørestrøm'!Q49</f>
        <v>0</v>
      </c>
      <c r="S185" s="37">
        <f>'9 Kørestrøm'!R49</f>
        <v>0</v>
      </c>
      <c r="T185" s="39">
        <f>'9 Kørestrøm'!S49</f>
        <v>0</v>
      </c>
      <c r="U185" s="40">
        <f>'9 Kørestrøm'!T49</f>
        <v>0</v>
      </c>
      <c r="V185" s="37" t="s">
        <v>98</v>
      </c>
      <c r="W185" s="37" t="s">
        <v>98</v>
      </c>
      <c r="X185" s="37" t="s">
        <v>98</v>
      </c>
    </row>
    <row r="186" spans="1:24" s="37" customFormat="1" x14ac:dyDescent="0.25">
      <c r="A186" s="37">
        <v>6</v>
      </c>
      <c r="B186" s="37" t="s">
        <v>449</v>
      </c>
      <c r="C186" s="37" t="s">
        <v>450</v>
      </c>
      <c r="D186" s="38" t="str">
        <f>'9 Kørestrøm'!C50</f>
        <v>SUM</v>
      </c>
      <c r="E186" s="37">
        <f>'9 Kørestrøm'!D50</f>
        <v>0</v>
      </c>
      <c r="F186" s="37">
        <f>'9 Kørestrøm'!E50</f>
        <v>0</v>
      </c>
      <c r="G186" s="37">
        <f>'9 Kørestrøm'!F50</f>
        <v>0</v>
      </c>
      <c r="H186" s="37">
        <f>'9 Kørestrøm'!G50</f>
        <v>0</v>
      </c>
      <c r="I186" s="37">
        <f>'9 Kørestrøm'!H50</f>
        <v>0</v>
      </c>
      <c r="J186" s="37">
        <f>'9 Kørestrøm'!I50</f>
        <v>5</v>
      </c>
      <c r="K186" s="37">
        <f>'9 Kørestrøm'!J50</f>
        <v>0</v>
      </c>
      <c r="L186" s="37">
        <f>'9 Kørestrøm'!K50</f>
        <v>0</v>
      </c>
      <c r="M186" s="37">
        <f>'9 Kørestrøm'!L50</f>
        <v>0</v>
      </c>
      <c r="N186" s="37">
        <f>'9 Kørestrøm'!M50</f>
        <v>0</v>
      </c>
      <c r="O186" s="37">
        <f>'9 Kørestrøm'!N50</f>
        <v>0</v>
      </c>
      <c r="P186" s="37">
        <f>'9 Kørestrøm'!O50</f>
        <v>0</v>
      </c>
      <c r="Q186" s="37">
        <f>'9 Kørestrøm'!P50</f>
        <v>0</v>
      </c>
      <c r="R186" s="37">
        <f>'9 Kørestrøm'!Q50</f>
        <v>0</v>
      </c>
      <c r="S186" s="37">
        <f>'9 Kørestrøm'!R50</f>
        <v>5</v>
      </c>
      <c r="T186" s="39">
        <f>'9 Kørestrøm'!S50</f>
        <v>488999</v>
      </c>
      <c r="U186" s="40">
        <f>'9 Kørestrøm'!T50</f>
        <v>2444995</v>
      </c>
      <c r="V186" s="37" t="s">
        <v>98</v>
      </c>
      <c r="W186" s="37" t="s">
        <v>822</v>
      </c>
      <c r="X186" s="37" t="s">
        <v>98</v>
      </c>
    </row>
    <row r="187" spans="1:24" s="37" customFormat="1" x14ac:dyDescent="0.25">
      <c r="A187" s="37">
        <v>5</v>
      </c>
      <c r="B187" s="37" t="s">
        <v>451</v>
      </c>
      <c r="C187" s="37" t="s">
        <v>452</v>
      </c>
      <c r="D187" s="38" t="str">
        <f>'9 Kørestrøm'!C51</f>
        <v/>
      </c>
      <c r="E187" s="37">
        <f>'9 Kørestrøm'!D51</f>
        <v>0</v>
      </c>
      <c r="F187" s="37">
        <f>'9 Kørestrøm'!E51</f>
        <v>0</v>
      </c>
      <c r="G187" s="37">
        <f>'9 Kørestrøm'!F51</f>
        <v>0</v>
      </c>
      <c r="H187" s="37">
        <f>'9 Kørestrøm'!G51</f>
        <v>0</v>
      </c>
      <c r="I187" s="37">
        <f>'9 Kørestrøm'!H51</f>
        <v>0</v>
      </c>
      <c r="J187" s="37">
        <f>'9 Kørestrøm'!I51</f>
        <v>0</v>
      </c>
      <c r="K187" s="37">
        <f>'9 Kørestrøm'!J51</f>
        <v>0</v>
      </c>
      <c r="L187" s="37">
        <f>'9 Kørestrøm'!K51</f>
        <v>0</v>
      </c>
      <c r="M187" s="37">
        <f>'9 Kørestrøm'!L51</f>
        <v>0</v>
      </c>
      <c r="N187" s="37">
        <f>'9 Kørestrøm'!M51</f>
        <v>0</v>
      </c>
      <c r="O187" s="37">
        <f>'9 Kørestrøm'!N51</f>
        <v>0</v>
      </c>
      <c r="P187" s="37">
        <f>'9 Kørestrøm'!O51</f>
        <v>0</v>
      </c>
      <c r="Q187" s="37">
        <f>'9 Kørestrøm'!P51</f>
        <v>0</v>
      </c>
      <c r="R187" s="37">
        <f>'9 Kørestrøm'!Q51</f>
        <v>0</v>
      </c>
      <c r="S187" s="37">
        <f>'9 Kørestrøm'!R51</f>
        <v>0</v>
      </c>
      <c r="T187" s="39">
        <f>'9 Kørestrøm'!S51</f>
        <v>0</v>
      </c>
      <c r="U187" s="40">
        <f>'9 Kørestrøm'!T51</f>
        <v>0</v>
      </c>
      <c r="V187" s="37" t="s">
        <v>98</v>
      </c>
      <c r="W187" s="37" t="s">
        <v>98</v>
      </c>
      <c r="X187" s="37" t="s">
        <v>98</v>
      </c>
    </row>
    <row r="188" spans="1:24" s="37" customFormat="1" x14ac:dyDescent="0.25">
      <c r="A188" s="37">
        <v>6</v>
      </c>
      <c r="B188" s="37" t="s">
        <v>453</v>
      </c>
      <c r="C188" s="37" t="s">
        <v>454</v>
      </c>
      <c r="D188" s="38" t="str">
        <f>'9 Kørestrøm'!C52</f>
        <v>SUM</v>
      </c>
      <c r="E188" s="37">
        <f>'9 Kørestrøm'!D52</f>
        <v>1</v>
      </c>
      <c r="F188" s="37">
        <f>'9 Kørestrøm'!E52</f>
        <v>0</v>
      </c>
      <c r="G188" s="37">
        <f>'9 Kørestrøm'!F52</f>
        <v>0</v>
      </c>
      <c r="H188" s="37">
        <f>'9 Kørestrøm'!G52</f>
        <v>0</v>
      </c>
      <c r="I188" s="37">
        <f>'9 Kørestrøm'!H52</f>
        <v>0</v>
      </c>
      <c r="J188" s="37">
        <f>'9 Kørestrøm'!I52</f>
        <v>0</v>
      </c>
      <c r="K188" s="37">
        <f>'9 Kørestrøm'!J52</f>
        <v>0</v>
      </c>
      <c r="L188" s="37">
        <f>'9 Kørestrøm'!K52</f>
        <v>0</v>
      </c>
      <c r="M188" s="37">
        <f>'9 Kørestrøm'!L52</f>
        <v>0</v>
      </c>
      <c r="N188" s="37">
        <f>'9 Kørestrøm'!M52</f>
        <v>0</v>
      </c>
      <c r="O188" s="37">
        <f>'9 Kørestrøm'!N52</f>
        <v>0</v>
      </c>
      <c r="P188" s="37">
        <f>'9 Kørestrøm'!O52</f>
        <v>0</v>
      </c>
      <c r="Q188" s="37">
        <f>'9 Kørestrøm'!P52</f>
        <v>0</v>
      </c>
      <c r="R188" s="37">
        <f>'9 Kørestrøm'!Q52</f>
        <v>0</v>
      </c>
      <c r="S188" s="37">
        <f>'9 Kørestrøm'!R52</f>
        <v>1</v>
      </c>
      <c r="T188" s="39">
        <f>'9 Kørestrøm'!S52</f>
        <v>31668</v>
      </c>
      <c r="U188" s="40">
        <f>'9 Kørestrøm'!T52</f>
        <v>31668</v>
      </c>
      <c r="V188" s="37" t="s">
        <v>98</v>
      </c>
      <c r="W188" s="37" t="s">
        <v>98</v>
      </c>
      <c r="X188" s="37" t="s">
        <v>98</v>
      </c>
    </row>
    <row r="189" spans="1:24" s="36" customFormat="1" x14ac:dyDescent="0.25">
      <c r="A189" s="28">
        <v>4</v>
      </c>
      <c r="B189" s="28" t="s">
        <v>455</v>
      </c>
      <c r="C189" s="28" t="s">
        <v>456</v>
      </c>
      <c r="D189" s="50" t="str">
        <f>'9 Kørestrøm'!C53</f>
        <v/>
      </c>
      <c r="E189" s="28">
        <f>'9 Kørestrøm'!D53</f>
        <v>0</v>
      </c>
      <c r="F189" s="28">
        <f>'9 Kørestrøm'!E53</f>
        <v>0</v>
      </c>
      <c r="G189" s="28">
        <f>'9 Kørestrøm'!F53</f>
        <v>0</v>
      </c>
      <c r="H189" s="28">
        <f>'9 Kørestrøm'!G53</f>
        <v>0</v>
      </c>
      <c r="I189" s="28">
        <f>'9 Kørestrøm'!H53</f>
        <v>0</v>
      </c>
      <c r="J189" s="28">
        <f>'9 Kørestrøm'!I53</f>
        <v>0</v>
      </c>
      <c r="K189" s="28">
        <f>'9 Kørestrøm'!J53</f>
        <v>0</v>
      </c>
      <c r="L189" s="28">
        <f>'9 Kørestrøm'!K53</f>
        <v>0</v>
      </c>
      <c r="M189" s="28">
        <f>'9 Kørestrøm'!L53</f>
        <v>0</v>
      </c>
      <c r="N189" s="28">
        <f>'9 Kørestrøm'!M53</f>
        <v>0</v>
      </c>
      <c r="O189" s="28">
        <f>'9 Kørestrøm'!N53</f>
        <v>0</v>
      </c>
      <c r="P189" s="28">
        <f>'9 Kørestrøm'!O53</f>
        <v>0</v>
      </c>
      <c r="Q189" s="28">
        <f>'9 Kørestrøm'!P53</f>
        <v>0</v>
      </c>
      <c r="R189" s="28">
        <f>'9 Kørestrøm'!Q53</f>
        <v>0</v>
      </c>
      <c r="S189" s="28">
        <f>'9 Kørestrøm'!R53</f>
        <v>0</v>
      </c>
      <c r="T189" s="51">
        <f>'9 Kørestrøm'!S53</f>
        <v>0</v>
      </c>
      <c r="U189" s="52">
        <f>'9 Kørestrøm'!T53</f>
        <v>0</v>
      </c>
      <c r="V189" s="28" t="s">
        <v>98</v>
      </c>
      <c r="W189" s="28" t="s">
        <v>98</v>
      </c>
      <c r="X189" s="28" t="s">
        <v>98</v>
      </c>
    </row>
    <row r="190" spans="1:24" s="37" customFormat="1" x14ac:dyDescent="0.25">
      <c r="A190" s="37">
        <v>5</v>
      </c>
      <c r="B190" s="37" t="s">
        <v>457</v>
      </c>
      <c r="C190" s="37" t="s">
        <v>458</v>
      </c>
      <c r="D190" s="38" t="str">
        <f>'9 Kørestrøm'!C54</f>
        <v>SUM</v>
      </c>
      <c r="E190" s="37">
        <f>'9 Kørestrøm'!D54</f>
        <v>0</v>
      </c>
      <c r="F190" s="37">
        <f>'9 Kørestrøm'!E54</f>
        <v>1</v>
      </c>
      <c r="G190" s="37">
        <f>'9 Kørestrøm'!F54</f>
        <v>0</v>
      </c>
      <c r="H190" s="37">
        <f>'9 Kørestrøm'!G54</f>
        <v>1</v>
      </c>
      <c r="I190" s="37">
        <f>'9 Kørestrøm'!H54</f>
        <v>0</v>
      </c>
      <c r="J190" s="37">
        <f>'9 Kørestrøm'!I54</f>
        <v>1</v>
      </c>
      <c r="K190" s="37">
        <f>'9 Kørestrøm'!J54</f>
        <v>0</v>
      </c>
      <c r="L190" s="37">
        <f>'9 Kørestrøm'!K54</f>
        <v>0</v>
      </c>
      <c r="M190" s="37">
        <f>'9 Kørestrøm'!L54</f>
        <v>0</v>
      </c>
      <c r="N190" s="37">
        <f>'9 Kørestrøm'!M54</f>
        <v>0</v>
      </c>
      <c r="O190" s="37">
        <f>'9 Kørestrøm'!N54</f>
        <v>0</v>
      </c>
      <c r="P190" s="37">
        <f>'9 Kørestrøm'!O54</f>
        <v>0</v>
      </c>
      <c r="Q190" s="37">
        <f>'9 Kørestrøm'!P54</f>
        <v>0</v>
      </c>
      <c r="R190" s="37">
        <f>'9 Kørestrøm'!Q54</f>
        <v>0</v>
      </c>
      <c r="S190" s="37">
        <f>'9 Kørestrøm'!R54</f>
        <v>3</v>
      </c>
      <c r="T190" s="39">
        <f>'9 Kørestrøm'!S54</f>
        <v>53468</v>
      </c>
      <c r="U190" s="40">
        <f>'9 Kørestrøm'!T54</f>
        <v>160404</v>
      </c>
      <c r="V190" s="37" t="s">
        <v>98</v>
      </c>
      <c r="W190" s="37" t="s">
        <v>822</v>
      </c>
      <c r="X190" s="37" t="s">
        <v>98</v>
      </c>
    </row>
    <row r="191" spans="1:24" s="37" customFormat="1" x14ac:dyDescent="0.25">
      <c r="A191" s="37">
        <v>5</v>
      </c>
      <c r="B191" s="37" t="s">
        <v>459</v>
      </c>
      <c r="C191" s="37" t="s">
        <v>460</v>
      </c>
      <c r="D191" s="38" t="str">
        <f>'9 Kørestrøm'!C55</f>
        <v>STK</v>
      </c>
      <c r="E191" s="37">
        <f>'9 Kørestrøm'!D55</f>
        <v>0</v>
      </c>
      <c r="F191" s="37">
        <f>'9 Kørestrøm'!E55</f>
        <v>0</v>
      </c>
      <c r="G191" s="37">
        <f>'9 Kørestrøm'!F55</f>
        <v>0</v>
      </c>
      <c r="H191" s="37">
        <f>'9 Kørestrøm'!G55</f>
        <v>0</v>
      </c>
      <c r="I191" s="37">
        <f>'9 Kørestrøm'!H55</f>
        <v>0</v>
      </c>
      <c r="J191" s="37">
        <f>'9 Kørestrøm'!I55</f>
        <v>0</v>
      </c>
      <c r="K191" s="37">
        <f>'9 Kørestrøm'!J55</f>
        <v>0</v>
      </c>
      <c r="L191" s="37">
        <f>'9 Kørestrøm'!K55</f>
        <v>0</v>
      </c>
      <c r="M191" s="37">
        <f>'9 Kørestrøm'!L55</f>
        <v>0</v>
      </c>
      <c r="N191" s="37">
        <f>'9 Kørestrøm'!M55</f>
        <v>1</v>
      </c>
      <c r="O191" s="37">
        <f>'9 Kørestrøm'!N55</f>
        <v>0</v>
      </c>
      <c r="P191" s="37">
        <f>'9 Kørestrøm'!O55</f>
        <v>0</v>
      </c>
      <c r="Q191" s="37">
        <f>'9 Kørestrøm'!P55</f>
        <v>0</v>
      </c>
      <c r="R191" s="37">
        <f>'9 Kørestrøm'!Q55</f>
        <v>1</v>
      </c>
      <c r="S191" s="37">
        <f>'9 Kørestrøm'!R55</f>
        <v>2</v>
      </c>
      <c r="T191" s="39">
        <f>'9 Kørestrøm'!S55</f>
        <v>10221</v>
      </c>
      <c r="U191" s="40">
        <f>'9 Kørestrøm'!T55</f>
        <v>20442</v>
      </c>
      <c r="V191" s="37" t="s">
        <v>98</v>
      </c>
      <c r="W191" s="37" t="s">
        <v>822</v>
      </c>
      <c r="X191" s="37" t="s">
        <v>98</v>
      </c>
    </row>
    <row r="192" spans="1:24" s="37" customFormat="1" x14ac:dyDescent="0.25">
      <c r="A192" s="37">
        <v>5</v>
      </c>
      <c r="B192" s="37" t="s">
        <v>461</v>
      </c>
      <c r="C192" s="37" t="s">
        <v>462</v>
      </c>
      <c r="D192" s="38" t="str">
        <f>'9 Kørestrøm'!C56</f>
        <v>SUM</v>
      </c>
      <c r="E192" s="37">
        <f>'9 Kørestrøm'!D56</f>
        <v>0</v>
      </c>
      <c r="F192" s="37">
        <f>'9 Kørestrøm'!E56</f>
        <v>0</v>
      </c>
      <c r="G192" s="37">
        <f>'9 Kørestrøm'!F56</f>
        <v>0</v>
      </c>
      <c r="H192" s="37">
        <f>'9 Kørestrøm'!G56</f>
        <v>0</v>
      </c>
      <c r="I192" s="37">
        <f>'9 Kørestrøm'!H56</f>
        <v>0</v>
      </c>
      <c r="J192" s="37">
        <f>'9 Kørestrøm'!I56</f>
        <v>0</v>
      </c>
      <c r="K192" s="37">
        <f>'9 Kørestrøm'!J56</f>
        <v>0</v>
      </c>
      <c r="L192" s="37">
        <f>'9 Kørestrøm'!K56</f>
        <v>0</v>
      </c>
      <c r="M192" s="37">
        <f>'9 Kørestrøm'!L56</f>
        <v>0</v>
      </c>
      <c r="N192" s="37">
        <f>'9 Kørestrøm'!M56</f>
        <v>0</v>
      </c>
      <c r="O192" s="37">
        <f>'9 Kørestrøm'!N56</f>
        <v>0</v>
      </c>
      <c r="P192" s="37">
        <f>'9 Kørestrøm'!O56</f>
        <v>0</v>
      </c>
      <c r="Q192" s="37">
        <f>'9 Kørestrøm'!P56</f>
        <v>0</v>
      </c>
      <c r="R192" s="37">
        <f>'9 Kørestrøm'!Q56</f>
        <v>1</v>
      </c>
      <c r="S192" s="37">
        <f>'9 Kørestrøm'!R56</f>
        <v>1</v>
      </c>
      <c r="T192" s="39">
        <f>'9 Kørestrøm'!S56</f>
        <v>55031</v>
      </c>
      <c r="U192" s="40">
        <f>'9 Kørestrøm'!T56</f>
        <v>55031</v>
      </c>
      <c r="V192" s="37" t="s">
        <v>98</v>
      </c>
      <c r="W192" s="37" t="s">
        <v>822</v>
      </c>
      <c r="X192" s="37" t="s">
        <v>98</v>
      </c>
    </row>
    <row r="193" spans="1:24" s="32" customFormat="1" ht="15.75" x14ac:dyDescent="0.25">
      <c r="A193" s="32">
        <v>3</v>
      </c>
      <c r="B193" s="32" t="s">
        <v>44</v>
      </c>
      <c r="C193" s="32" t="s">
        <v>45</v>
      </c>
      <c r="D193" s="33" t="str">
        <f>'10 Sikring'!C2</f>
        <v/>
      </c>
      <c r="E193" s="32">
        <f>'10 Sikring'!D2</f>
        <v>0</v>
      </c>
      <c r="F193" s="32">
        <f>'10 Sikring'!E2</f>
        <v>0</v>
      </c>
      <c r="G193" s="32">
        <f>'10 Sikring'!F2</f>
        <v>0</v>
      </c>
      <c r="H193" s="32">
        <f>'10 Sikring'!G2</f>
        <v>0</v>
      </c>
      <c r="I193" s="32">
        <f>'10 Sikring'!H2</f>
        <v>0</v>
      </c>
      <c r="J193" s="32">
        <f>'10 Sikring'!I2</f>
        <v>0</v>
      </c>
      <c r="K193" s="32">
        <f>'10 Sikring'!J2</f>
        <v>0</v>
      </c>
      <c r="L193" s="32">
        <f>'10 Sikring'!K2</f>
        <v>0</v>
      </c>
      <c r="M193" s="32">
        <f>'10 Sikring'!L2</f>
        <v>0</v>
      </c>
      <c r="N193" s="32">
        <f>'10 Sikring'!M2</f>
        <v>0</v>
      </c>
      <c r="O193" s="32">
        <f>'10 Sikring'!N2</f>
        <v>0</v>
      </c>
      <c r="P193" s="32">
        <f>'10 Sikring'!O2</f>
        <v>0</v>
      </c>
      <c r="Q193" s="32">
        <f>'10 Sikring'!P2</f>
        <v>0</v>
      </c>
      <c r="R193" s="32">
        <f>'10 Sikring'!Q2</f>
        <v>0</v>
      </c>
      <c r="S193" s="32">
        <f>'10 Sikring'!R2</f>
        <v>0</v>
      </c>
      <c r="T193" s="34">
        <f>'10 Sikring'!S2</f>
        <v>0</v>
      </c>
      <c r="U193" s="35">
        <f>'10 Sikring'!T2</f>
        <v>0</v>
      </c>
      <c r="V193" s="32" t="s">
        <v>98</v>
      </c>
      <c r="W193" s="32" t="s">
        <v>98</v>
      </c>
      <c r="X193" s="32" t="s">
        <v>98</v>
      </c>
    </row>
    <row r="194" spans="1:24" s="36" customFormat="1" x14ac:dyDescent="0.25">
      <c r="A194" s="28">
        <v>4</v>
      </c>
      <c r="B194" s="28" t="s">
        <v>463</v>
      </c>
      <c r="C194" s="28" t="s">
        <v>464</v>
      </c>
      <c r="D194" s="50" t="str">
        <f>'10 Sikring'!C3</f>
        <v/>
      </c>
      <c r="E194" s="28">
        <f>'10 Sikring'!D3</f>
        <v>0</v>
      </c>
      <c r="F194" s="28">
        <f>'10 Sikring'!E3</f>
        <v>0</v>
      </c>
      <c r="G194" s="28">
        <f>'10 Sikring'!F3</f>
        <v>0</v>
      </c>
      <c r="H194" s="28">
        <f>'10 Sikring'!G3</f>
        <v>0</v>
      </c>
      <c r="I194" s="28">
        <f>'10 Sikring'!H3</f>
        <v>0</v>
      </c>
      <c r="J194" s="28">
        <f>'10 Sikring'!I3</f>
        <v>0</v>
      </c>
      <c r="K194" s="28">
        <f>'10 Sikring'!J3</f>
        <v>0</v>
      </c>
      <c r="L194" s="28">
        <f>'10 Sikring'!K3</f>
        <v>0</v>
      </c>
      <c r="M194" s="28">
        <f>'10 Sikring'!L3</f>
        <v>0</v>
      </c>
      <c r="N194" s="28">
        <f>'10 Sikring'!M3</f>
        <v>0</v>
      </c>
      <c r="O194" s="28">
        <f>'10 Sikring'!N3</f>
        <v>0</v>
      </c>
      <c r="P194" s="28">
        <f>'10 Sikring'!O3</f>
        <v>0</v>
      </c>
      <c r="Q194" s="28">
        <f>'10 Sikring'!P3</f>
        <v>0</v>
      </c>
      <c r="R194" s="28">
        <f>'10 Sikring'!Q3</f>
        <v>0</v>
      </c>
      <c r="S194" s="28">
        <f>'10 Sikring'!R3</f>
        <v>0</v>
      </c>
      <c r="T194" s="51">
        <f>'10 Sikring'!S3</f>
        <v>0</v>
      </c>
      <c r="U194" s="52">
        <f>'10 Sikring'!T3</f>
        <v>0</v>
      </c>
      <c r="V194" s="28" t="s">
        <v>98</v>
      </c>
      <c r="W194" s="28" t="s">
        <v>98</v>
      </c>
      <c r="X194" s="28" t="s">
        <v>98</v>
      </c>
    </row>
    <row r="195" spans="1:24" s="37" customFormat="1" x14ac:dyDescent="0.25">
      <c r="A195" s="37">
        <v>5</v>
      </c>
      <c r="B195" s="37" t="s">
        <v>465</v>
      </c>
      <c r="C195" s="37" t="s">
        <v>466</v>
      </c>
      <c r="D195" s="38" t="str">
        <f>'10 Sikring'!C4</f>
        <v>STK</v>
      </c>
      <c r="E195" s="37">
        <f>'10 Sikring'!D4</f>
        <v>0</v>
      </c>
      <c r="F195" s="37">
        <f>'10 Sikring'!E4</f>
        <v>2</v>
      </c>
      <c r="G195" s="37">
        <f>'10 Sikring'!F4</f>
        <v>0</v>
      </c>
      <c r="H195" s="37">
        <f>'10 Sikring'!G4</f>
        <v>0</v>
      </c>
      <c r="I195" s="37">
        <f>'10 Sikring'!H4</f>
        <v>0</v>
      </c>
      <c r="J195" s="37">
        <f>'10 Sikring'!I4</f>
        <v>24</v>
      </c>
      <c r="K195" s="37">
        <f>'10 Sikring'!J4</f>
        <v>0</v>
      </c>
      <c r="L195" s="37">
        <f>'10 Sikring'!K4</f>
        <v>0</v>
      </c>
      <c r="M195" s="37">
        <f>'10 Sikring'!L4</f>
        <v>0</v>
      </c>
      <c r="N195" s="37">
        <f>'10 Sikring'!M4</f>
        <v>0</v>
      </c>
      <c r="O195" s="37">
        <f>'10 Sikring'!N4</f>
        <v>0</v>
      </c>
      <c r="P195" s="37">
        <f>'10 Sikring'!O4</f>
        <v>0</v>
      </c>
      <c r="Q195" s="37">
        <f>'10 Sikring'!P4</f>
        <v>0</v>
      </c>
      <c r="R195" s="37">
        <f>'10 Sikring'!Q4</f>
        <v>0</v>
      </c>
      <c r="S195" s="37">
        <f>'10 Sikring'!R4</f>
        <v>26</v>
      </c>
      <c r="T195" s="39">
        <f>'10 Sikring'!S4</f>
        <v>5948</v>
      </c>
      <c r="U195" s="40">
        <f>'10 Sikring'!T4</f>
        <v>154648</v>
      </c>
      <c r="V195" s="37" t="s">
        <v>98</v>
      </c>
      <c r="W195" s="37" t="s">
        <v>822</v>
      </c>
      <c r="X195" s="37" t="s">
        <v>98</v>
      </c>
    </row>
    <row r="196" spans="1:24" s="37" customFormat="1" x14ac:dyDescent="0.25">
      <c r="A196" s="37">
        <v>5</v>
      </c>
      <c r="B196" s="37" t="s">
        <v>467</v>
      </c>
      <c r="C196" s="37" t="s">
        <v>468</v>
      </c>
      <c r="D196" s="38" t="str">
        <f>'10 Sikring'!C5</f>
        <v>STK</v>
      </c>
      <c r="E196" s="37">
        <f>'10 Sikring'!D5</f>
        <v>0</v>
      </c>
      <c r="F196" s="37">
        <f>'10 Sikring'!E5</f>
        <v>2</v>
      </c>
      <c r="G196" s="37">
        <f>'10 Sikring'!F5</f>
        <v>0</v>
      </c>
      <c r="H196" s="37">
        <f>'10 Sikring'!G5</f>
        <v>0</v>
      </c>
      <c r="I196" s="37">
        <f>'10 Sikring'!H5</f>
        <v>0</v>
      </c>
      <c r="J196" s="37">
        <f>'10 Sikring'!I5</f>
        <v>24</v>
      </c>
      <c r="K196" s="37">
        <f>'10 Sikring'!J5</f>
        <v>0</v>
      </c>
      <c r="L196" s="37">
        <f>'10 Sikring'!K5</f>
        <v>0</v>
      </c>
      <c r="M196" s="37">
        <f>'10 Sikring'!L5</f>
        <v>0</v>
      </c>
      <c r="N196" s="37">
        <f>'10 Sikring'!M5</f>
        <v>0</v>
      </c>
      <c r="O196" s="37">
        <f>'10 Sikring'!N5</f>
        <v>0</v>
      </c>
      <c r="P196" s="37">
        <f>'10 Sikring'!O5</f>
        <v>0</v>
      </c>
      <c r="Q196" s="37">
        <f>'10 Sikring'!P5</f>
        <v>0</v>
      </c>
      <c r="R196" s="37">
        <f>'10 Sikring'!Q5</f>
        <v>0</v>
      </c>
      <c r="S196" s="37">
        <f>'10 Sikring'!R5</f>
        <v>26</v>
      </c>
      <c r="T196" s="39">
        <f>'10 Sikring'!S5</f>
        <v>9424</v>
      </c>
      <c r="U196" s="40">
        <f>'10 Sikring'!T5</f>
        <v>245024</v>
      </c>
      <c r="V196" s="37" t="s">
        <v>98</v>
      </c>
      <c r="W196" s="37" t="s">
        <v>822</v>
      </c>
      <c r="X196" s="37" t="s">
        <v>98</v>
      </c>
    </row>
    <row r="197" spans="1:24" s="37" customFormat="1" x14ac:dyDescent="0.25">
      <c r="A197" s="37">
        <v>5</v>
      </c>
      <c r="B197" s="37" t="s">
        <v>469</v>
      </c>
      <c r="C197" s="37" t="s">
        <v>470</v>
      </c>
      <c r="D197" s="38" t="str">
        <f>'10 Sikring'!C6</f>
        <v>STK</v>
      </c>
      <c r="E197" s="37">
        <f>'10 Sikring'!D6</f>
        <v>0</v>
      </c>
      <c r="F197" s="37">
        <f>'10 Sikring'!E6</f>
        <v>18</v>
      </c>
      <c r="G197" s="37">
        <f>'10 Sikring'!F6</f>
        <v>0</v>
      </c>
      <c r="H197" s="37">
        <f>'10 Sikring'!G6</f>
        <v>0</v>
      </c>
      <c r="I197" s="37">
        <f>'10 Sikring'!H6</f>
        <v>0</v>
      </c>
      <c r="J197" s="37">
        <f>'10 Sikring'!I6</f>
        <v>26</v>
      </c>
      <c r="K197" s="37">
        <f>'10 Sikring'!J6</f>
        <v>0</v>
      </c>
      <c r="L197" s="37">
        <f>'10 Sikring'!K6</f>
        <v>0</v>
      </c>
      <c r="M197" s="37">
        <f>'10 Sikring'!L6</f>
        <v>0</v>
      </c>
      <c r="N197" s="37">
        <f>'10 Sikring'!M6</f>
        <v>0</v>
      </c>
      <c r="O197" s="37">
        <f>'10 Sikring'!N6</f>
        <v>0</v>
      </c>
      <c r="P197" s="37">
        <f>'10 Sikring'!O6</f>
        <v>0</v>
      </c>
      <c r="Q197" s="37">
        <f>'10 Sikring'!P6</f>
        <v>0</v>
      </c>
      <c r="R197" s="37">
        <f>'10 Sikring'!Q6</f>
        <v>0</v>
      </c>
      <c r="S197" s="37">
        <f>'10 Sikring'!R6</f>
        <v>44</v>
      </c>
      <c r="T197" s="39">
        <f>'10 Sikring'!S6</f>
        <v>5978</v>
      </c>
      <c r="U197" s="40">
        <f>'10 Sikring'!T6</f>
        <v>263032</v>
      </c>
      <c r="V197" s="37" t="s">
        <v>98</v>
      </c>
      <c r="W197" s="37" t="s">
        <v>822</v>
      </c>
      <c r="X197" s="37" t="s">
        <v>98</v>
      </c>
    </row>
    <row r="198" spans="1:24" s="36" customFormat="1" x14ac:dyDescent="0.25">
      <c r="A198" s="28">
        <v>4</v>
      </c>
      <c r="B198" s="28" t="s">
        <v>471</v>
      </c>
      <c r="C198" s="28" t="s">
        <v>472</v>
      </c>
      <c r="D198" s="50" t="str">
        <f>'10 Sikring'!C7</f>
        <v/>
      </c>
      <c r="E198" s="28">
        <f>'10 Sikring'!D7</f>
        <v>0</v>
      </c>
      <c r="F198" s="28">
        <f>'10 Sikring'!E7</f>
        <v>0</v>
      </c>
      <c r="G198" s="28">
        <f>'10 Sikring'!F7</f>
        <v>0</v>
      </c>
      <c r="H198" s="28">
        <f>'10 Sikring'!G7</f>
        <v>0</v>
      </c>
      <c r="I198" s="28">
        <f>'10 Sikring'!H7</f>
        <v>0</v>
      </c>
      <c r="J198" s="28">
        <f>'10 Sikring'!I7</f>
        <v>0</v>
      </c>
      <c r="K198" s="28">
        <f>'10 Sikring'!J7</f>
        <v>0</v>
      </c>
      <c r="L198" s="28">
        <f>'10 Sikring'!K7</f>
        <v>0</v>
      </c>
      <c r="M198" s="28">
        <f>'10 Sikring'!L7</f>
        <v>0</v>
      </c>
      <c r="N198" s="28">
        <f>'10 Sikring'!M7</f>
        <v>0</v>
      </c>
      <c r="O198" s="28">
        <f>'10 Sikring'!N7</f>
        <v>0</v>
      </c>
      <c r="P198" s="28">
        <f>'10 Sikring'!O7</f>
        <v>0</v>
      </c>
      <c r="Q198" s="28">
        <f>'10 Sikring'!P7</f>
        <v>0</v>
      </c>
      <c r="R198" s="28">
        <f>'10 Sikring'!Q7</f>
        <v>0</v>
      </c>
      <c r="S198" s="28">
        <f>'10 Sikring'!R7</f>
        <v>0</v>
      </c>
      <c r="T198" s="51">
        <f>'10 Sikring'!S7</f>
        <v>0</v>
      </c>
      <c r="U198" s="52">
        <f>'10 Sikring'!T7</f>
        <v>0</v>
      </c>
      <c r="V198" s="28" t="s">
        <v>98</v>
      </c>
      <c r="W198" s="28" t="s">
        <v>98</v>
      </c>
      <c r="X198" s="28" t="s">
        <v>98</v>
      </c>
    </row>
    <row r="199" spans="1:24" s="37" customFormat="1" x14ac:dyDescent="0.25">
      <c r="A199" s="37">
        <v>5</v>
      </c>
      <c r="B199" s="37" t="s">
        <v>473</v>
      </c>
      <c r="C199" s="37" t="s">
        <v>474</v>
      </c>
      <c r="D199" s="38" t="str">
        <f>'10 Sikring'!C8</f>
        <v>STK</v>
      </c>
      <c r="E199" s="37">
        <f>'10 Sikring'!D8</f>
        <v>0</v>
      </c>
      <c r="F199" s="37">
        <f>'10 Sikring'!E8</f>
        <v>2</v>
      </c>
      <c r="G199" s="37">
        <f>'10 Sikring'!F8</f>
        <v>0</v>
      </c>
      <c r="H199" s="37">
        <f>'10 Sikring'!G8</f>
        <v>0</v>
      </c>
      <c r="I199" s="37">
        <f>'10 Sikring'!H8</f>
        <v>0</v>
      </c>
      <c r="J199" s="37">
        <f>'10 Sikring'!I8</f>
        <v>2</v>
      </c>
      <c r="K199" s="37">
        <f>'10 Sikring'!J8</f>
        <v>0</v>
      </c>
      <c r="L199" s="37">
        <f>'10 Sikring'!K8</f>
        <v>0</v>
      </c>
      <c r="M199" s="37">
        <f>'10 Sikring'!L8</f>
        <v>0</v>
      </c>
      <c r="N199" s="37">
        <f>'10 Sikring'!M8</f>
        <v>0</v>
      </c>
      <c r="O199" s="37">
        <f>'10 Sikring'!N8</f>
        <v>0</v>
      </c>
      <c r="P199" s="37">
        <f>'10 Sikring'!O8</f>
        <v>0</v>
      </c>
      <c r="Q199" s="37">
        <f>'10 Sikring'!P8</f>
        <v>0</v>
      </c>
      <c r="R199" s="37">
        <f>'10 Sikring'!Q8</f>
        <v>0</v>
      </c>
      <c r="S199" s="37">
        <f>'10 Sikring'!R8</f>
        <v>4</v>
      </c>
      <c r="T199" s="39">
        <f>'10 Sikring'!S8</f>
        <v>3021</v>
      </c>
      <c r="U199" s="40">
        <f>'10 Sikring'!T8</f>
        <v>12084</v>
      </c>
      <c r="V199" s="37" t="s">
        <v>98</v>
      </c>
      <c r="W199" s="37" t="s">
        <v>822</v>
      </c>
      <c r="X199" s="37" t="s">
        <v>98</v>
      </c>
    </row>
    <row r="200" spans="1:24" s="37" customFormat="1" x14ac:dyDescent="0.25">
      <c r="A200" s="37">
        <v>5</v>
      </c>
      <c r="B200" s="37" t="s">
        <v>475</v>
      </c>
      <c r="C200" s="37" t="s">
        <v>476</v>
      </c>
      <c r="D200" s="38" t="str">
        <f>'10 Sikring'!C9</f>
        <v>STK</v>
      </c>
      <c r="E200" s="37">
        <f>'10 Sikring'!D9</f>
        <v>0</v>
      </c>
      <c r="F200" s="37">
        <f>'10 Sikring'!E9</f>
        <v>2</v>
      </c>
      <c r="G200" s="37">
        <f>'10 Sikring'!F9</f>
        <v>0</v>
      </c>
      <c r="H200" s="37">
        <f>'10 Sikring'!G9</f>
        <v>0</v>
      </c>
      <c r="I200" s="37">
        <f>'10 Sikring'!H9</f>
        <v>0</v>
      </c>
      <c r="J200" s="37">
        <f>'10 Sikring'!I9</f>
        <v>2</v>
      </c>
      <c r="K200" s="37">
        <f>'10 Sikring'!J9</f>
        <v>0</v>
      </c>
      <c r="L200" s="37">
        <f>'10 Sikring'!K9</f>
        <v>0</v>
      </c>
      <c r="M200" s="37">
        <f>'10 Sikring'!L9</f>
        <v>0</v>
      </c>
      <c r="N200" s="37">
        <f>'10 Sikring'!M9</f>
        <v>0</v>
      </c>
      <c r="O200" s="37">
        <f>'10 Sikring'!N9</f>
        <v>0</v>
      </c>
      <c r="P200" s="37">
        <f>'10 Sikring'!O9</f>
        <v>0</v>
      </c>
      <c r="Q200" s="37">
        <f>'10 Sikring'!P9</f>
        <v>0</v>
      </c>
      <c r="R200" s="37">
        <f>'10 Sikring'!Q9</f>
        <v>0</v>
      </c>
      <c r="S200" s="37">
        <f>'10 Sikring'!R9</f>
        <v>4</v>
      </c>
      <c r="T200" s="39">
        <f>'10 Sikring'!S9</f>
        <v>2955</v>
      </c>
      <c r="U200" s="40">
        <f>'10 Sikring'!T9</f>
        <v>11820</v>
      </c>
      <c r="V200" s="37" t="s">
        <v>98</v>
      </c>
      <c r="W200" s="37" t="s">
        <v>822</v>
      </c>
      <c r="X200" s="37" t="s">
        <v>98</v>
      </c>
    </row>
    <row r="201" spans="1:24" s="37" customFormat="1" x14ac:dyDescent="0.25">
      <c r="A201" s="37">
        <v>5</v>
      </c>
      <c r="B201" s="37" t="s">
        <v>477</v>
      </c>
      <c r="C201" s="37" t="s">
        <v>478</v>
      </c>
      <c r="D201" s="38" t="str">
        <f>'10 Sikring'!C10</f>
        <v>M</v>
      </c>
      <c r="E201" s="37">
        <f>'10 Sikring'!D10</f>
        <v>0</v>
      </c>
      <c r="F201" s="37">
        <f>'10 Sikring'!E10</f>
        <v>0</v>
      </c>
      <c r="G201" s="37">
        <f>'10 Sikring'!F10</f>
        <v>0</v>
      </c>
      <c r="H201" s="37">
        <f>'10 Sikring'!G10</f>
        <v>0</v>
      </c>
      <c r="I201" s="37">
        <f>'10 Sikring'!H10</f>
        <v>0</v>
      </c>
      <c r="J201" s="37">
        <f>'10 Sikring'!I10</f>
        <v>12000</v>
      </c>
      <c r="K201" s="37">
        <f>'10 Sikring'!J10</f>
        <v>0</v>
      </c>
      <c r="L201" s="37">
        <f>'10 Sikring'!K10</f>
        <v>0</v>
      </c>
      <c r="M201" s="37">
        <f>'10 Sikring'!L10</f>
        <v>0</v>
      </c>
      <c r="N201" s="37">
        <f>'10 Sikring'!M10</f>
        <v>0</v>
      </c>
      <c r="O201" s="37">
        <f>'10 Sikring'!N10</f>
        <v>0</v>
      </c>
      <c r="P201" s="37">
        <f>'10 Sikring'!O10</f>
        <v>0</v>
      </c>
      <c r="Q201" s="37">
        <f>'10 Sikring'!P10</f>
        <v>0</v>
      </c>
      <c r="R201" s="37">
        <f>'10 Sikring'!Q10</f>
        <v>0</v>
      </c>
      <c r="S201" s="37">
        <f>'10 Sikring'!R10</f>
        <v>12000</v>
      </c>
      <c r="T201" s="39">
        <f>'10 Sikring'!S10</f>
        <v>52</v>
      </c>
      <c r="U201" s="40">
        <f>'10 Sikring'!T10</f>
        <v>624000</v>
      </c>
      <c r="V201" s="37" t="s">
        <v>98</v>
      </c>
      <c r="W201" s="37" t="s">
        <v>822</v>
      </c>
      <c r="X201" s="37" t="s">
        <v>98</v>
      </c>
    </row>
    <row r="202" spans="1:24" s="37" customFormat="1" x14ac:dyDescent="0.25">
      <c r="A202" s="37">
        <v>5</v>
      </c>
      <c r="B202" s="37" t="s">
        <v>479</v>
      </c>
      <c r="C202" s="37" t="s">
        <v>480</v>
      </c>
      <c r="D202" s="38" t="str">
        <f>'10 Sikring'!C11</f>
        <v>M</v>
      </c>
      <c r="E202" s="37">
        <f>'10 Sikring'!D11</f>
        <v>0</v>
      </c>
      <c r="F202" s="37">
        <f>'10 Sikring'!E11</f>
        <v>0</v>
      </c>
      <c r="G202" s="37">
        <f>'10 Sikring'!F11</f>
        <v>0</v>
      </c>
      <c r="H202" s="37">
        <f>'10 Sikring'!G11</f>
        <v>0</v>
      </c>
      <c r="I202" s="37">
        <f>'10 Sikring'!H11</f>
        <v>0</v>
      </c>
      <c r="J202" s="37">
        <f>'10 Sikring'!I11</f>
        <v>12000</v>
      </c>
      <c r="K202" s="37">
        <f>'10 Sikring'!J11</f>
        <v>0</v>
      </c>
      <c r="L202" s="37">
        <f>'10 Sikring'!K11</f>
        <v>0</v>
      </c>
      <c r="M202" s="37">
        <f>'10 Sikring'!L11</f>
        <v>0</v>
      </c>
      <c r="N202" s="37">
        <f>'10 Sikring'!M11</f>
        <v>0</v>
      </c>
      <c r="O202" s="37">
        <f>'10 Sikring'!N11</f>
        <v>0</v>
      </c>
      <c r="P202" s="37">
        <f>'10 Sikring'!O11</f>
        <v>0</v>
      </c>
      <c r="Q202" s="37">
        <f>'10 Sikring'!P11</f>
        <v>0</v>
      </c>
      <c r="R202" s="37">
        <f>'10 Sikring'!Q11</f>
        <v>0</v>
      </c>
      <c r="S202" s="37">
        <f>'10 Sikring'!R11</f>
        <v>12000</v>
      </c>
      <c r="T202" s="39">
        <f>'10 Sikring'!S11</f>
        <v>73</v>
      </c>
      <c r="U202" s="40">
        <f>'10 Sikring'!T11</f>
        <v>876000</v>
      </c>
      <c r="V202" s="37" t="s">
        <v>98</v>
      </c>
      <c r="W202" s="37" t="s">
        <v>822</v>
      </c>
      <c r="X202" s="37" t="s">
        <v>98</v>
      </c>
    </row>
    <row r="203" spans="1:24" s="37" customFormat="1" x14ac:dyDescent="0.25">
      <c r="A203" s="37">
        <v>5</v>
      </c>
      <c r="B203" s="37" t="s">
        <v>481</v>
      </c>
      <c r="C203" s="37" t="s">
        <v>482</v>
      </c>
      <c r="D203" s="38" t="str">
        <f>'10 Sikring'!C12</f>
        <v>STK</v>
      </c>
      <c r="E203" s="37">
        <f>'10 Sikring'!D12</f>
        <v>0</v>
      </c>
      <c r="F203" s="37">
        <f>'10 Sikring'!E12</f>
        <v>2</v>
      </c>
      <c r="G203" s="37">
        <f>'10 Sikring'!F12</f>
        <v>0</v>
      </c>
      <c r="H203" s="37">
        <f>'10 Sikring'!G12</f>
        <v>0</v>
      </c>
      <c r="I203" s="37">
        <f>'10 Sikring'!H12</f>
        <v>0</v>
      </c>
      <c r="J203" s="37">
        <f>'10 Sikring'!I12</f>
        <v>2</v>
      </c>
      <c r="K203" s="37">
        <f>'10 Sikring'!J12</f>
        <v>0</v>
      </c>
      <c r="L203" s="37">
        <f>'10 Sikring'!K12</f>
        <v>0</v>
      </c>
      <c r="M203" s="37">
        <f>'10 Sikring'!L12</f>
        <v>0</v>
      </c>
      <c r="N203" s="37">
        <f>'10 Sikring'!M12</f>
        <v>0</v>
      </c>
      <c r="O203" s="37">
        <f>'10 Sikring'!N12</f>
        <v>0</v>
      </c>
      <c r="P203" s="37">
        <f>'10 Sikring'!O12</f>
        <v>0</v>
      </c>
      <c r="Q203" s="37">
        <f>'10 Sikring'!P12</f>
        <v>0</v>
      </c>
      <c r="R203" s="37">
        <f>'10 Sikring'!Q12</f>
        <v>0</v>
      </c>
      <c r="S203" s="37">
        <f>'10 Sikring'!R12</f>
        <v>4</v>
      </c>
      <c r="T203" s="39">
        <f>'10 Sikring'!S12</f>
        <v>4167</v>
      </c>
      <c r="U203" s="40">
        <f>'10 Sikring'!T12</f>
        <v>16668</v>
      </c>
      <c r="V203" s="37" t="s">
        <v>98</v>
      </c>
      <c r="W203" s="37" t="s">
        <v>822</v>
      </c>
      <c r="X203" s="37" t="s">
        <v>98</v>
      </c>
    </row>
    <row r="204" spans="1:24" s="37" customFormat="1" x14ac:dyDescent="0.25">
      <c r="A204" s="37">
        <v>5</v>
      </c>
      <c r="B204" s="37" t="s">
        <v>483</v>
      </c>
      <c r="C204" s="37" t="s">
        <v>484</v>
      </c>
      <c r="D204" s="38" t="str">
        <f>'10 Sikring'!C13</f>
        <v>STK</v>
      </c>
      <c r="E204" s="37">
        <f>'10 Sikring'!D13</f>
        <v>0</v>
      </c>
      <c r="F204" s="37">
        <f>'10 Sikring'!E13</f>
        <v>24</v>
      </c>
      <c r="G204" s="37">
        <f>'10 Sikring'!F13</f>
        <v>0</v>
      </c>
      <c r="H204" s="37">
        <f>'10 Sikring'!G13</f>
        <v>11</v>
      </c>
      <c r="I204" s="37">
        <f>'10 Sikring'!H13</f>
        <v>0</v>
      </c>
      <c r="J204" s="37">
        <f>'10 Sikring'!I13</f>
        <v>17</v>
      </c>
      <c r="K204" s="37">
        <f>'10 Sikring'!J13</f>
        <v>0</v>
      </c>
      <c r="L204" s="37">
        <f>'10 Sikring'!K13</f>
        <v>0</v>
      </c>
      <c r="M204" s="37">
        <f>'10 Sikring'!L13</f>
        <v>0</v>
      </c>
      <c r="N204" s="37">
        <f>'10 Sikring'!M13</f>
        <v>0</v>
      </c>
      <c r="O204" s="37">
        <f>'10 Sikring'!N13</f>
        <v>0</v>
      </c>
      <c r="P204" s="37">
        <f>'10 Sikring'!O13</f>
        <v>0</v>
      </c>
      <c r="Q204" s="37">
        <f>'10 Sikring'!P13</f>
        <v>0</v>
      </c>
      <c r="R204" s="37">
        <f>'10 Sikring'!Q13</f>
        <v>0</v>
      </c>
      <c r="S204" s="37">
        <f>'10 Sikring'!R13</f>
        <v>52</v>
      </c>
      <c r="T204" s="39">
        <f>'10 Sikring'!S13</f>
        <v>1528</v>
      </c>
      <c r="U204" s="40">
        <f>'10 Sikring'!T13</f>
        <v>79456</v>
      </c>
      <c r="V204" s="37" t="s">
        <v>98</v>
      </c>
      <c r="W204" s="37" t="s">
        <v>822</v>
      </c>
      <c r="X204" s="37" t="s">
        <v>98</v>
      </c>
    </row>
    <row r="205" spans="1:24" s="36" customFormat="1" x14ac:dyDescent="0.25">
      <c r="A205" s="28">
        <v>4</v>
      </c>
      <c r="B205" s="28" t="s">
        <v>485</v>
      </c>
      <c r="C205" s="28" t="s">
        <v>486</v>
      </c>
      <c r="D205" s="50" t="str">
        <f>'10 Sikring'!C14</f>
        <v/>
      </c>
      <c r="E205" s="28">
        <f>'10 Sikring'!D14</f>
        <v>0</v>
      </c>
      <c r="F205" s="28">
        <f>'10 Sikring'!E14</f>
        <v>0</v>
      </c>
      <c r="G205" s="28">
        <f>'10 Sikring'!F14</f>
        <v>0</v>
      </c>
      <c r="H205" s="28">
        <f>'10 Sikring'!G14</f>
        <v>0</v>
      </c>
      <c r="I205" s="28">
        <f>'10 Sikring'!H14</f>
        <v>0</v>
      </c>
      <c r="J205" s="28">
        <f>'10 Sikring'!I14</f>
        <v>0</v>
      </c>
      <c r="K205" s="28">
        <f>'10 Sikring'!J14</f>
        <v>0</v>
      </c>
      <c r="L205" s="28">
        <f>'10 Sikring'!K14</f>
        <v>0</v>
      </c>
      <c r="M205" s="28">
        <f>'10 Sikring'!L14</f>
        <v>0</v>
      </c>
      <c r="N205" s="28">
        <f>'10 Sikring'!M14</f>
        <v>0</v>
      </c>
      <c r="O205" s="28">
        <f>'10 Sikring'!N14</f>
        <v>0</v>
      </c>
      <c r="P205" s="28">
        <f>'10 Sikring'!O14</f>
        <v>0</v>
      </c>
      <c r="Q205" s="28">
        <f>'10 Sikring'!P14</f>
        <v>0</v>
      </c>
      <c r="R205" s="28">
        <f>'10 Sikring'!Q14</f>
        <v>0</v>
      </c>
      <c r="S205" s="28">
        <f>'10 Sikring'!R14</f>
        <v>0</v>
      </c>
      <c r="T205" s="51">
        <f>'10 Sikring'!S14</f>
        <v>0</v>
      </c>
      <c r="U205" s="52">
        <f>'10 Sikring'!T14</f>
        <v>0</v>
      </c>
      <c r="V205" s="28" t="s">
        <v>98</v>
      </c>
      <c r="W205" s="28" t="s">
        <v>98</v>
      </c>
      <c r="X205" s="28" t="s">
        <v>98</v>
      </c>
    </row>
    <row r="206" spans="1:24" s="37" customFormat="1" x14ac:dyDescent="0.25">
      <c r="A206" s="37">
        <v>5</v>
      </c>
      <c r="B206" s="37" t="s">
        <v>487</v>
      </c>
      <c r="C206" s="37" t="s">
        <v>488</v>
      </c>
      <c r="D206" s="38" t="str">
        <f>'10 Sikring'!C15</f>
        <v>STK</v>
      </c>
      <c r="E206" s="37">
        <f>'10 Sikring'!D15</f>
        <v>0</v>
      </c>
      <c r="F206" s="37">
        <f>'10 Sikring'!E15</f>
        <v>2</v>
      </c>
      <c r="G206" s="37">
        <f>'10 Sikring'!F15</f>
        <v>0</v>
      </c>
      <c r="H206" s="37">
        <f>'10 Sikring'!G15</f>
        <v>0</v>
      </c>
      <c r="I206" s="37">
        <f>'10 Sikring'!H15</f>
        <v>0</v>
      </c>
      <c r="J206" s="37">
        <f>'10 Sikring'!I15</f>
        <v>1</v>
      </c>
      <c r="K206" s="37">
        <f>'10 Sikring'!J15</f>
        <v>0</v>
      </c>
      <c r="L206" s="37">
        <f>'10 Sikring'!K15</f>
        <v>0</v>
      </c>
      <c r="M206" s="37">
        <f>'10 Sikring'!L15</f>
        <v>0</v>
      </c>
      <c r="N206" s="37">
        <f>'10 Sikring'!M15</f>
        <v>0</v>
      </c>
      <c r="O206" s="37">
        <f>'10 Sikring'!N15</f>
        <v>0</v>
      </c>
      <c r="P206" s="37">
        <f>'10 Sikring'!O15</f>
        <v>0</v>
      </c>
      <c r="Q206" s="37">
        <f>'10 Sikring'!P15</f>
        <v>0</v>
      </c>
      <c r="R206" s="37">
        <f>'10 Sikring'!Q15</f>
        <v>0</v>
      </c>
      <c r="S206" s="37">
        <f>'10 Sikring'!R15</f>
        <v>3</v>
      </c>
      <c r="T206" s="39">
        <f>'10 Sikring'!S15</f>
        <v>1423</v>
      </c>
      <c r="U206" s="40">
        <f>'10 Sikring'!T15</f>
        <v>4269</v>
      </c>
      <c r="V206" s="37" t="s">
        <v>98</v>
      </c>
      <c r="W206" s="37" t="s">
        <v>822</v>
      </c>
      <c r="X206" s="37" t="s">
        <v>98</v>
      </c>
    </row>
    <row r="207" spans="1:24" s="37" customFormat="1" x14ac:dyDescent="0.25">
      <c r="A207" s="37">
        <v>5</v>
      </c>
      <c r="B207" s="37" t="s">
        <v>489</v>
      </c>
      <c r="C207" s="37" t="s">
        <v>490</v>
      </c>
      <c r="D207" s="38" t="str">
        <f>'10 Sikring'!C16</f>
        <v>STK</v>
      </c>
      <c r="E207" s="37">
        <f>'10 Sikring'!D16</f>
        <v>0</v>
      </c>
      <c r="F207" s="37">
        <f>'10 Sikring'!E16</f>
        <v>2</v>
      </c>
      <c r="G207" s="37">
        <f>'10 Sikring'!F16</f>
        <v>0</v>
      </c>
      <c r="H207" s="37">
        <f>'10 Sikring'!G16</f>
        <v>0</v>
      </c>
      <c r="I207" s="37">
        <f>'10 Sikring'!H16</f>
        <v>0</v>
      </c>
      <c r="J207" s="37">
        <f>'10 Sikring'!I16</f>
        <v>1</v>
      </c>
      <c r="K207" s="37">
        <f>'10 Sikring'!J16</f>
        <v>0</v>
      </c>
      <c r="L207" s="37">
        <f>'10 Sikring'!K16</f>
        <v>0</v>
      </c>
      <c r="M207" s="37">
        <f>'10 Sikring'!L16</f>
        <v>0</v>
      </c>
      <c r="N207" s="37">
        <f>'10 Sikring'!M16</f>
        <v>0</v>
      </c>
      <c r="O207" s="37">
        <f>'10 Sikring'!N16</f>
        <v>0</v>
      </c>
      <c r="P207" s="37">
        <f>'10 Sikring'!O16</f>
        <v>0</v>
      </c>
      <c r="Q207" s="37">
        <f>'10 Sikring'!P16</f>
        <v>0</v>
      </c>
      <c r="R207" s="37">
        <f>'10 Sikring'!Q16</f>
        <v>0</v>
      </c>
      <c r="S207" s="37">
        <f>'10 Sikring'!R16</f>
        <v>3</v>
      </c>
      <c r="T207" s="39">
        <f>'10 Sikring'!S16</f>
        <v>1897</v>
      </c>
      <c r="U207" s="40">
        <f>'10 Sikring'!T16</f>
        <v>5691</v>
      </c>
      <c r="V207" s="37" t="s">
        <v>98</v>
      </c>
      <c r="W207" s="37" t="s">
        <v>822</v>
      </c>
      <c r="X207" s="37" t="s">
        <v>98</v>
      </c>
    </row>
    <row r="208" spans="1:24" s="36" customFormat="1" x14ac:dyDescent="0.25">
      <c r="A208" s="28">
        <v>4</v>
      </c>
      <c r="B208" s="28" t="s">
        <v>491</v>
      </c>
      <c r="C208" s="28" t="s">
        <v>492</v>
      </c>
      <c r="D208" s="50" t="str">
        <f>'10 Sikring'!C17</f>
        <v/>
      </c>
      <c r="E208" s="28">
        <f>'10 Sikring'!D17</f>
        <v>0</v>
      </c>
      <c r="F208" s="28">
        <f>'10 Sikring'!E17</f>
        <v>0</v>
      </c>
      <c r="G208" s="28">
        <f>'10 Sikring'!F17</f>
        <v>0</v>
      </c>
      <c r="H208" s="28">
        <f>'10 Sikring'!G17</f>
        <v>0</v>
      </c>
      <c r="I208" s="28">
        <f>'10 Sikring'!H17</f>
        <v>0</v>
      </c>
      <c r="J208" s="28">
        <f>'10 Sikring'!I17</f>
        <v>0</v>
      </c>
      <c r="K208" s="28">
        <f>'10 Sikring'!J17</f>
        <v>0</v>
      </c>
      <c r="L208" s="28">
        <f>'10 Sikring'!K17</f>
        <v>0</v>
      </c>
      <c r="M208" s="28">
        <f>'10 Sikring'!L17</f>
        <v>0</v>
      </c>
      <c r="N208" s="28">
        <f>'10 Sikring'!M17</f>
        <v>0</v>
      </c>
      <c r="O208" s="28">
        <f>'10 Sikring'!N17</f>
        <v>0</v>
      </c>
      <c r="P208" s="28">
        <f>'10 Sikring'!O17</f>
        <v>0</v>
      </c>
      <c r="Q208" s="28">
        <f>'10 Sikring'!P17</f>
        <v>0</v>
      </c>
      <c r="R208" s="28">
        <f>'10 Sikring'!Q17</f>
        <v>0</v>
      </c>
      <c r="S208" s="28">
        <f>'10 Sikring'!R17</f>
        <v>0</v>
      </c>
      <c r="T208" s="51">
        <f>'10 Sikring'!S17</f>
        <v>0</v>
      </c>
      <c r="U208" s="52">
        <f>'10 Sikring'!T17</f>
        <v>0</v>
      </c>
      <c r="V208" s="28" t="s">
        <v>98</v>
      </c>
      <c r="W208" s="28" t="s">
        <v>98</v>
      </c>
      <c r="X208" s="28" t="s">
        <v>98</v>
      </c>
    </row>
    <row r="209" spans="1:24" s="37" customFormat="1" x14ac:dyDescent="0.25">
      <c r="A209" s="37">
        <v>5</v>
      </c>
      <c r="B209" s="37" t="s">
        <v>493</v>
      </c>
      <c r="C209" s="37" t="s">
        <v>494</v>
      </c>
      <c r="D209" s="38" t="str">
        <f>'10 Sikring'!C18</f>
        <v>STK</v>
      </c>
      <c r="E209" s="37">
        <f>'10 Sikring'!D18</f>
        <v>0</v>
      </c>
      <c r="F209" s="37">
        <f>'10 Sikring'!E18</f>
        <v>2</v>
      </c>
      <c r="G209" s="37">
        <f>'10 Sikring'!F18</f>
        <v>0</v>
      </c>
      <c r="H209" s="37">
        <f>'10 Sikring'!G18</f>
        <v>0</v>
      </c>
      <c r="I209" s="37">
        <f>'10 Sikring'!H18</f>
        <v>0</v>
      </c>
      <c r="J209" s="37">
        <f>'10 Sikring'!I18</f>
        <v>1</v>
      </c>
      <c r="K209" s="37">
        <f>'10 Sikring'!J18</f>
        <v>0</v>
      </c>
      <c r="L209" s="37">
        <f>'10 Sikring'!K18</f>
        <v>0</v>
      </c>
      <c r="M209" s="37">
        <f>'10 Sikring'!L18</f>
        <v>0</v>
      </c>
      <c r="N209" s="37">
        <f>'10 Sikring'!M18</f>
        <v>0</v>
      </c>
      <c r="O209" s="37">
        <f>'10 Sikring'!N18</f>
        <v>0</v>
      </c>
      <c r="P209" s="37">
        <f>'10 Sikring'!O18</f>
        <v>0</v>
      </c>
      <c r="Q209" s="37">
        <f>'10 Sikring'!P18</f>
        <v>0</v>
      </c>
      <c r="R209" s="37">
        <f>'10 Sikring'!Q18</f>
        <v>0</v>
      </c>
      <c r="S209" s="37">
        <f>'10 Sikring'!R18</f>
        <v>3</v>
      </c>
      <c r="T209" s="39">
        <f>'10 Sikring'!S18</f>
        <v>5986</v>
      </c>
      <c r="U209" s="40">
        <f>'10 Sikring'!T18</f>
        <v>17958</v>
      </c>
      <c r="V209" s="37" t="s">
        <v>98</v>
      </c>
      <c r="W209" s="37" t="s">
        <v>822</v>
      </c>
      <c r="X209" s="37" t="s">
        <v>98</v>
      </c>
    </row>
    <row r="210" spans="1:24" s="37" customFormat="1" x14ac:dyDescent="0.25">
      <c r="A210" s="37">
        <v>5</v>
      </c>
      <c r="B210" s="37" t="s">
        <v>495</v>
      </c>
      <c r="C210" s="37" t="s">
        <v>496</v>
      </c>
      <c r="D210" s="38" t="str">
        <f>'10 Sikring'!C19</f>
        <v>STK</v>
      </c>
      <c r="E210" s="37">
        <f>'10 Sikring'!D19</f>
        <v>0</v>
      </c>
      <c r="F210" s="37">
        <f>'10 Sikring'!E19</f>
        <v>2</v>
      </c>
      <c r="G210" s="37">
        <f>'10 Sikring'!F19</f>
        <v>0</v>
      </c>
      <c r="H210" s="37">
        <f>'10 Sikring'!G19</f>
        <v>0</v>
      </c>
      <c r="I210" s="37">
        <f>'10 Sikring'!H19</f>
        <v>0</v>
      </c>
      <c r="J210" s="37">
        <f>'10 Sikring'!I19</f>
        <v>2</v>
      </c>
      <c r="K210" s="37">
        <f>'10 Sikring'!J19</f>
        <v>0</v>
      </c>
      <c r="L210" s="37">
        <f>'10 Sikring'!K19</f>
        <v>0</v>
      </c>
      <c r="M210" s="37">
        <f>'10 Sikring'!L19</f>
        <v>0</v>
      </c>
      <c r="N210" s="37">
        <f>'10 Sikring'!M19</f>
        <v>0</v>
      </c>
      <c r="O210" s="37">
        <f>'10 Sikring'!N19</f>
        <v>0</v>
      </c>
      <c r="P210" s="37">
        <f>'10 Sikring'!O19</f>
        <v>0</v>
      </c>
      <c r="Q210" s="37">
        <f>'10 Sikring'!P19</f>
        <v>0</v>
      </c>
      <c r="R210" s="37">
        <f>'10 Sikring'!Q19</f>
        <v>0</v>
      </c>
      <c r="S210" s="37">
        <f>'10 Sikring'!R19</f>
        <v>4</v>
      </c>
      <c r="T210" s="39">
        <f>'10 Sikring'!S19</f>
        <v>5024</v>
      </c>
      <c r="U210" s="40">
        <f>'10 Sikring'!T19</f>
        <v>20096</v>
      </c>
      <c r="V210" s="37" t="s">
        <v>98</v>
      </c>
      <c r="W210" s="37" t="s">
        <v>822</v>
      </c>
      <c r="X210" s="37" t="s">
        <v>98</v>
      </c>
    </row>
    <row r="211" spans="1:24" s="37" customFormat="1" x14ac:dyDescent="0.25">
      <c r="A211" s="37">
        <v>5</v>
      </c>
      <c r="B211" s="37" t="s">
        <v>497</v>
      </c>
      <c r="C211" s="37" t="s">
        <v>498</v>
      </c>
      <c r="D211" s="38" t="str">
        <f>'10 Sikring'!C20</f>
        <v>STK</v>
      </c>
      <c r="E211" s="37">
        <f>'10 Sikring'!D20</f>
        <v>0</v>
      </c>
      <c r="F211" s="37">
        <f>'10 Sikring'!E20</f>
        <v>2</v>
      </c>
      <c r="G211" s="37">
        <f>'10 Sikring'!F20</f>
        <v>0</v>
      </c>
      <c r="H211" s="37">
        <f>'10 Sikring'!G20</f>
        <v>0</v>
      </c>
      <c r="I211" s="37">
        <f>'10 Sikring'!H20</f>
        <v>0</v>
      </c>
      <c r="J211" s="37">
        <f>'10 Sikring'!I20</f>
        <v>1</v>
      </c>
      <c r="K211" s="37">
        <f>'10 Sikring'!J20</f>
        <v>0</v>
      </c>
      <c r="L211" s="37">
        <f>'10 Sikring'!K20</f>
        <v>0</v>
      </c>
      <c r="M211" s="37">
        <f>'10 Sikring'!L20</f>
        <v>0</v>
      </c>
      <c r="N211" s="37">
        <f>'10 Sikring'!M20</f>
        <v>0</v>
      </c>
      <c r="O211" s="37">
        <f>'10 Sikring'!N20</f>
        <v>0</v>
      </c>
      <c r="P211" s="37">
        <f>'10 Sikring'!O20</f>
        <v>0</v>
      </c>
      <c r="Q211" s="37">
        <f>'10 Sikring'!P20</f>
        <v>0</v>
      </c>
      <c r="R211" s="37">
        <f>'10 Sikring'!Q20</f>
        <v>0</v>
      </c>
      <c r="S211" s="37">
        <f>'10 Sikring'!R20</f>
        <v>3</v>
      </c>
      <c r="T211" s="39">
        <f>'10 Sikring'!S20</f>
        <v>1840</v>
      </c>
      <c r="U211" s="40">
        <f>'10 Sikring'!T20</f>
        <v>5520</v>
      </c>
      <c r="V211" s="37" t="s">
        <v>98</v>
      </c>
      <c r="W211" s="37" t="s">
        <v>822</v>
      </c>
      <c r="X211" s="37" t="s">
        <v>98</v>
      </c>
    </row>
    <row r="212" spans="1:24" s="36" customFormat="1" x14ac:dyDescent="0.25">
      <c r="A212" s="28">
        <v>4</v>
      </c>
      <c r="B212" s="28" t="s">
        <v>499</v>
      </c>
      <c r="C212" s="28" t="s">
        <v>500</v>
      </c>
      <c r="D212" s="50" t="str">
        <f>'10 Sikring'!C21</f>
        <v/>
      </c>
      <c r="E212" s="28">
        <f>'10 Sikring'!D21</f>
        <v>0</v>
      </c>
      <c r="F212" s="28">
        <f>'10 Sikring'!E21</f>
        <v>0</v>
      </c>
      <c r="G212" s="28">
        <f>'10 Sikring'!F21</f>
        <v>0</v>
      </c>
      <c r="H212" s="28">
        <f>'10 Sikring'!G21</f>
        <v>0</v>
      </c>
      <c r="I212" s="28">
        <f>'10 Sikring'!H21</f>
        <v>0</v>
      </c>
      <c r="J212" s="28">
        <f>'10 Sikring'!I21</f>
        <v>0</v>
      </c>
      <c r="K212" s="28">
        <f>'10 Sikring'!J21</f>
        <v>0</v>
      </c>
      <c r="L212" s="28">
        <f>'10 Sikring'!K21</f>
        <v>0</v>
      </c>
      <c r="M212" s="28">
        <f>'10 Sikring'!L21</f>
        <v>0</v>
      </c>
      <c r="N212" s="28">
        <f>'10 Sikring'!M21</f>
        <v>0</v>
      </c>
      <c r="O212" s="28">
        <f>'10 Sikring'!N21</f>
        <v>0</v>
      </c>
      <c r="P212" s="28">
        <f>'10 Sikring'!O21</f>
        <v>0</v>
      </c>
      <c r="Q212" s="28">
        <f>'10 Sikring'!P21</f>
        <v>0</v>
      </c>
      <c r="R212" s="28">
        <f>'10 Sikring'!Q21</f>
        <v>0</v>
      </c>
      <c r="S212" s="28">
        <f>'10 Sikring'!R21</f>
        <v>0</v>
      </c>
      <c r="T212" s="51">
        <f>'10 Sikring'!S21</f>
        <v>0</v>
      </c>
      <c r="U212" s="52">
        <f>'10 Sikring'!T21</f>
        <v>0</v>
      </c>
      <c r="V212" s="28" t="s">
        <v>98</v>
      </c>
      <c r="W212" s="28" t="s">
        <v>98</v>
      </c>
      <c r="X212" s="28" t="s">
        <v>98</v>
      </c>
    </row>
    <row r="213" spans="1:24" s="37" customFormat="1" x14ac:dyDescent="0.25">
      <c r="A213" s="37">
        <v>5</v>
      </c>
      <c r="B213" s="37" t="s">
        <v>501</v>
      </c>
      <c r="C213" s="37" t="s">
        <v>502</v>
      </c>
      <c r="D213" s="38" t="str">
        <f>'10 Sikring'!C22</f>
        <v>STK</v>
      </c>
      <c r="E213" s="37">
        <f>'10 Sikring'!D22</f>
        <v>0</v>
      </c>
      <c r="F213" s="37">
        <f>'10 Sikring'!E22</f>
        <v>24</v>
      </c>
      <c r="G213" s="37">
        <f>'10 Sikring'!F22</f>
        <v>0</v>
      </c>
      <c r="H213" s="37">
        <f>'10 Sikring'!G22</f>
        <v>11</v>
      </c>
      <c r="I213" s="37">
        <f>'10 Sikring'!H22</f>
        <v>0</v>
      </c>
      <c r="J213" s="37">
        <f>'10 Sikring'!I22</f>
        <v>10</v>
      </c>
      <c r="K213" s="37">
        <f>'10 Sikring'!J22</f>
        <v>0</v>
      </c>
      <c r="L213" s="37">
        <f>'10 Sikring'!K22</f>
        <v>0</v>
      </c>
      <c r="M213" s="37">
        <f>'10 Sikring'!L22</f>
        <v>0</v>
      </c>
      <c r="N213" s="37">
        <f>'10 Sikring'!M22</f>
        <v>0</v>
      </c>
      <c r="O213" s="37">
        <f>'10 Sikring'!N22</f>
        <v>0</v>
      </c>
      <c r="P213" s="37">
        <f>'10 Sikring'!O22</f>
        <v>0</v>
      </c>
      <c r="Q213" s="37">
        <f>'10 Sikring'!P22</f>
        <v>0</v>
      </c>
      <c r="R213" s="37">
        <f>'10 Sikring'!Q22</f>
        <v>0</v>
      </c>
      <c r="S213" s="37">
        <f>'10 Sikring'!R22</f>
        <v>45</v>
      </c>
      <c r="T213" s="39">
        <f>'10 Sikring'!S22</f>
        <v>6080</v>
      </c>
      <c r="U213" s="40">
        <f>'10 Sikring'!T22</f>
        <v>273600</v>
      </c>
      <c r="V213" s="37" t="s">
        <v>98</v>
      </c>
      <c r="W213" s="37" t="s">
        <v>98</v>
      </c>
      <c r="X213" s="37" t="s">
        <v>98</v>
      </c>
    </row>
    <row r="214" spans="1:24" s="37" customFormat="1" x14ac:dyDescent="0.25">
      <c r="A214" s="37">
        <v>5</v>
      </c>
      <c r="B214" s="37" t="s">
        <v>503</v>
      </c>
      <c r="C214" s="37" t="s">
        <v>504</v>
      </c>
      <c r="D214" s="38" t="str">
        <f>'10 Sikring'!C23</f>
        <v>STK</v>
      </c>
      <c r="E214" s="37">
        <f>'10 Sikring'!D23</f>
        <v>0</v>
      </c>
      <c r="F214" s="37">
        <f>'10 Sikring'!E23</f>
        <v>24</v>
      </c>
      <c r="G214" s="37">
        <f>'10 Sikring'!F23</f>
        <v>0</v>
      </c>
      <c r="H214" s="37">
        <f>'10 Sikring'!G23</f>
        <v>11</v>
      </c>
      <c r="I214" s="37">
        <f>'10 Sikring'!H23</f>
        <v>0</v>
      </c>
      <c r="J214" s="37">
        <f>'10 Sikring'!I23</f>
        <v>10</v>
      </c>
      <c r="K214" s="37">
        <f>'10 Sikring'!J23</f>
        <v>0</v>
      </c>
      <c r="L214" s="37">
        <f>'10 Sikring'!K23</f>
        <v>0</v>
      </c>
      <c r="M214" s="37">
        <f>'10 Sikring'!L23</f>
        <v>0</v>
      </c>
      <c r="N214" s="37">
        <f>'10 Sikring'!M23</f>
        <v>0</v>
      </c>
      <c r="O214" s="37">
        <f>'10 Sikring'!N23</f>
        <v>0</v>
      </c>
      <c r="P214" s="37">
        <f>'10 Sikring'!O23</f>
        <v>0</v>
      </c>
      <c r="Q214" s="37">
        <f>'10 Sikring'!P23</f>
        <v>0</v>
      </c>
      <c r="R214" s="37">
        <f>'10 Sikring'!Q23</f>
        <v>0</v>
      </c>
      <c r="S214" s="37">
        <f>'10 Sikring'!R23</f>
        <v>45</v>
      </c>
      <c r="T214" s="39">
        <f>'10 Sikring'!S23</f>
        <v>10306</v>
      </c>
      <c r="U214" s="40">
        <f>'10 Sikring'!T23</f>
        <v>463770</v>
      </c>
      <c r="V214" s="37" t="s">
        <v>98</v>
      </c>
      <c r="W214" s="37" t="s">
        <v>98</v>
      </c>
      <c r="X214" s="37" t="s">
        <v>98</v>
      </c>
    </row>
    <row r="215" spans="1:24" s="37" customFormat="1" x14ac:dyDescent="0.25">
      <c r="A215" s="37">
        <v>5</v>
      </c>
      <c r="B215" s="37" t="s">
        <v>505</v>
      </c>
      <c r="C215" s="37" t="s">
        <v>506</v>
      </c>
      <c r="D215" s="38" t="str">
        <f>'10 Sikring'!C24</f>
        <v>STK</v>
      </c>
      <c r="E215" s="37">
        <f>'10 Sikring'!D24</f>
        <v>0</v>
      </c>
      <c r="F215" s="37">
        <f>'10 Sikring'!E24</f>
        <v>0</v>
      </c>
      <c r="G215" s="37">
        <f>'10 Sikring'!F24</f>
        <v>0</v>
      </c>
      <c r="H215" s="37">
        <f>'10 Sikring'!G24</f>
        <v>0</v>
      </c>
      <c r="I215" s="37">
        <f>'10 Sikring'!H24</f>
        <v>0</v>
      </c>
      <c r="J215" s="37">
        <f>'10 Sikring'!I24</f>
        <v>0</v>
      </c>
      <c r="K215" s="37">
        <f>'10 Sikring'!J24</f>
        <v>0</v>
      </c>
      <c r="L215" s="37">
        <f>'10 Sikring'!K24</f>
        <v>0</v>
      </c>
      <c r="M215" s="37">
        <f>'10 Sikring'!L24</f>
        <v>0</v>
      </c>
      <c r="N215" s="37">
        <f>'10 Sikring'!M24</f>
        <v>0</v>
      </c>
      <c r="O215" s="37">
        <f>'10 Sikring'!N24</f>
        <v>0</v>
      </c>
      <c r="P215" s="37">
        <f>'10 Sikring'!O24</f>
        <v>0</v>
      </c>
      <c r="Q215" s="37">
        <f>'10 Sikring'!P24</f>
        <v>0</v>
      </c>
      <c r="R215" s="37">
        <f>'10 Sikring'!Q24</f>
        <v>0</v>
      </c>
      <c r="S215" s="37">
        <f>'10 Sikring'!R24</f>
        <v>0</v>
      </c>
      <c r="T215" s="39">
        <f>'10 Sikring'!S24</f>
        <v>0</v>
      </c>
      <c r="U215" s="40">
        <f>'10 Sikring'!T24</f>
        <v>0</v>
      </c>
      <c r="V215" s="37" t="s">
        <v>98</v>
      </c>
      <c r="W215" s="37" t="s">
        <v>98</v>
      </c>
      <c r="X215" s="37" t="s">
        <v>98</v>
      </c>
    </row>
    <row r="216" spans="1:24" s="37" customFormat="1" x14ac:dyDescent="0.25">
      <c r="A216" s="37">
        <v>6</v>
      </c>
      <c r="B216" s="37" t="s">
        <v>507</v>
      </c>
      <c r="C216" s="37" t="s">
        <v>508</v>
      </c>
      <c r="D216" s="38" t="str">
        <f>'10 Sikring'!C25</f>
        <v>STK</v>
      </c>
      <c r="E216" s="37">
        <f>'10 Sikring'!D25</f>
        <v>0</v>
      </c>
      <c r="F216" s="37">
        <f>'10 Sikring'!E25</f>
        <v>24</v>
      </c>
      <c r="G216" s="37">
        <f>'10 Sikring'!F25</f>
        <v>0</v>
      </c>
      <c r="H216" s="37">
        <f>'10 Sikring'!G25</f>
        <v>11</v>
      </c>
      <c r="I216" s="37">
        <f>'10 Sikring'!H25</f>
        <v>0</v>
      </c>
      <c r="J216" s="37">
        <f>'10 Sikring'!I25</f>
        <v>10</v>
      </c>
      <c r="K216" s="37">
        <f>'10 Sikring'!J25</f>
        <v>0</v>
      </c>
      <c r="L216" s="37">
        <f>'10 Sikring'!K25</f>
        <v>0</v>
      </c>
      <c r="M216" s="37">
        <f>'10 Sikring'!L25</f>
        <v>0</v>
      </c>
      <c r="N216" s="37">
        <f>'10 Sikring'!M25</f>
        <v>0</v>
      </c>
      <c r="O216" s="37">
        <f>'10 Sikring'!N25</f>
        <v>0</v>
      </c>
      <c r="P216" s="37">
        <f>'10 Sikring'!O25</f>
        <v>0</v>
      </c>
      <c r="Q216" s="37">
        <f>'10 Sikring'!P25</f>
        <v>0</v>
      </c>
      <c r="R216" s="37">
        <f>'10 Sikring'!Q25</f>
        <v>0</v>
      </c>
      <c r="S216" s="37">
        <f>'10 Sikring'!R25</f>
        <v>45</v>
      </c>
      <c r="T216" s="39">
        <f>'10 Sikring'!S25</f>
        <v>6251</v>
      </c>
      <c r="U216" s="40">
        <f>'10 Sikring'!T25</f>
        <v>281295</v>
      </c>
      <c r="V216" s="37" t="s">
        <v>98</v>
      </c>
      <c r="W216" s="37" t="s">
        <v>98</v>
      </c>
      <c r="X216" s="37" t="s">
        <v>98</v>
      </c>
    </row>
    <row r="217" spans="1:24" s="37" customFormat="1" x14ac:dyDescent="0.25">
      <c r="A217" s="37">
        <v>6</v>
      </c>
      <c r="B217" s="37" t="s">
        <v>509</v>
      </c>
      <c r="C217" s="37" t="s">
        <v>510</v>
      </c>
      <c r="D217" s="38" t="str">
        <f>'10 Sikring'!C26</f>
        <v>STK</v>
      </c>
      <c r="E217" s="37">
        <f>'10 Sikring'!D26</f>
        <v>0</v>
      </c>
      <c r="F217" s="37">
        <f>'10 Sikring'!E26</f>
        <v>24</v>
      </c>
      <c r="G217" s="37">
        <f>'10 Sikring'!F26</f>
        <v>0</v>
      </c>
      <c r="H217" s="37">
        <f>'10 Sikring'!G26</f>
        <v>11</v>
      </c>
      <c r="I217" s="37">
        <f>'10 Sikring'!H26</f>
        <v>0</v>
      </c>
      <c r="J217" s="37">
        <f>'10 Sikring'!I26</f>
        <v>10</v>
      </c>
      <c r="K217" s="37">
        <f>'10 Sikring'!J26</f>
        <v>0</v>
      </c>
      <c r="L217" s="37">
        <f>'10 Sikring'!K26</f>
        <v>0</v>
      </c>
      <c r="M217" s="37">
        <f>'10 Sikring'!L26</f>
        <v>0</v>
      </c>
      <c r="N217" s="37">
        <f>'10 Sikring'!M26</f>
        <v>0</v>
      </c>
      <c r="O217" s="37">
        <f>'10 Sikring'!N26</f>
        <v>0</v>
      </c>
      <c r="P217" s="37">
        <f>'10 Sikring'!O26</f>
        <v>0</v>
      </c>
      <c r="Q217" s="37">
        <f>'10 Sikring'!P26</f>
        <v>0</v>
      </c>
      <c r="R217" s="37">
        <f>'10 Sikring'!Q26</f>
        <v>0</v>
      </c>
      <c r="S217" s="37">
        <f>'10 Sikring'!R26</f>
        <v>45</v>
      </c>
      <c r="T217" s="39">
        <f>'10 Sikring'!S26</f>
        <v>10613</v>
      </c>
      <c r="U217" s="40">
        <f>'10 Sikring'!T26</f>
        <v>477585</v>
      </c>
      <c r="V217" s="37" t="s">
        <v>98</v>
      </c>
      <c r="W217" s="37" t="s">
        <v>98</v>
      </c>
      <c r="X217" s="37" t="s">
        <v>98</v>
      </c>
    </row>
    <row r="218" spans="1:24" s="37" customFormat="1" x14ac:dyDescent="0.25">
      <c r="A218" s="37">
        <v>5</v>
      </c>
      <c r="B218" s="37" t="s">
        <v>511</v>
      </c>
      <c r="C218" s="37" t="s">
        <v>512</v>
      </c>
      <c r="D218" s="38" t="str">
        <f>'10 Sikring'!C27</f>
        <v>STK</v>
      </c>
      <c r="E218" s="37">
        <f>'10 Sikring'!D27</f>
        <v>0</v>
      </c>
      <c r="F218" s="37">
        <f>'10 Sikring'!E27</f>
        <v>1</v>
      </c>
      <c r="G218" s="37">
        <f>'10 Sikring'!F27</f>
        <v>0</v>
      </c>
      <c r="H218" s="37">
        <f>'10 Sikring'!G27</f>
        <v>1</v>
      </c>
      <c r="I218" s="37">
        <f>'10 Sikring'!H27</f>
        <v>0</v>
      </c>
      <c r="J218" s="37">
        <f>'10 Sikring'!I27</f>
        <v>1</v>
      </c>
      <c r="K218" s="37">
        <f>'10 Sikring'!J27</f>
        <v>0</v>
      </c>
      <c r="L218" s="37">
        <f>'10 Sikring'!K27</f>
        <v>0</v>
      </c>
      <c r="M218" s="37">
        <f>'10 Sikring'!L27</f>
        <v>0</v>
      </c>
      <c r="N218" s="37">
        <f>'10 Sikring'!M27</f>
        <v>0</v>
      </c>
      <c r="O218" s="37">
        <f>'10 Sikring'!N27</f>
        <v>0</v>
      </c>
      <c r="P218" s="37">
        <f>'10 Sikring'!O27</f>
        <v>0</v>
      </c>
      <c r="Q218" s="37">
        <f>'10 Sikring'!P27</f>
        <v>0</v>
      </c>
      <c r="R218" s="37">
        <f>'10 Sikring'!Q27</f>
        <v>0</v>
      </c>
      <c r="S218" s="37">
        <f>'10 Sikring'!R27</f>
        <v>3</v>
      </c>
      <c r="T218" s="39">
        <f>'10 Sikring'!S27</f>
        <v>27237</v>
      </c>
      <c r="U218" s="40">
        <f>'10 Sikring'!T27</f>
        <v>81711</v>
      </c>
      <c r="V218" s="37" t="s">
        <v>98</v>
      </c>
      <c r="W218" s="37" t="s">
        <v>98</v>
      </c>
      <c r="X218" s="37" t="s">
        <v>98</v>
      </c>
    </row>
    <row r="219" spans="1:24" s="37" customFormat="1" x14ac:dyDescent="0.25">
      <c r="A219" s="37">
        <v>5</v>
      </c>
      <c r="B219" s="37" t="s">
        <v>513</v>
      </c>
      <c r="C219" s="37" t="s">
        <v>514</v>
      </c>
      <c r="D219" s="38" t="str">
        <f>'10 Sikring'!C28</f>
        <v>T</v>
      </c>
      <c r="E219" s="37">
        <f>'10 Sikring'!D28</f>
        <v>0</v>
      </c>
      <c r="F219" s="37">
        <f>'10 Sikring'!E28</f>
        <v>0</v>
      </c>
      <c r="G219" s="37">
        <f>'10 Sikring'!F28</f>
        <v>0</v>
      </c>
      <c r="H219" s="37">
        <f>'10 Sikring'!G28</f>
        <v>0</v>
      </c>
      <c r="I219" s="37">
        <f>'10 Sikring'!H28</f>
        <v>0</v>
      </c>
      <c r="J219" s="37">
        <f>'10 Sikring'!I28</f>
        <v>0</v>
      </c>
      <c r="K219" s="37">
        <f>'10 Sikring'!J28</f>
        <v>0</v>
      </c>
      <c r="L219" s="37">
        <f>'10 Sikring'!K28</f>
        <v>0</v>
      </c>
      <c r="M219" s="37">
        <f>'10 Sikring'!L28</f>
        <v>0</v>
      </c>
      <c r="N219" s="37">
        <f>'10 Sikring'!M28</f>
        <v>0</v>
      </c>
      <c r="O219" s="37">
        <f>'10 Sikring'!N28</f>
        <v>0</v>
      </c>
      <c r="P219" s="37">
        <f>'10 Sikring'!O28</f>
        <v>0</v>
      </c>
      <c r="Q219" s="37">
        <f>'10 Sikring'!P28</f>
        <v>0</v>
      </c>
      <c r="R219" s="37">
        <f>'10 Sikring'!Q28</f>
        <v>0</v>
      </c>
      <c r="S219" s="37">
        <f>'10 Sikring'!R28</f>
        <v>0</v>
      </c>
      <c r="T219" s="39">
        <f>'10 Sikring'!S28</f>
        <v>0</v>
      </c>
      <c r="U219" s="40">
        <f>'10 Sikring'!T28</f>
        <v>0</v>
      </c>
      <c r="V219" s="37" t="s">
        <v>98</v>
      </c>
      <c r="W219" s="37" t="s">
        <v>98</v>
      </c>
      <c r="X219" s="37" t="s">
        <v>98</v>
      </c>
    </row>
    <row r="220" spans="1:24" s="37" customFormat="1" x14ac:dyDescent="0.25">
      <c r="A220" s="37">
        <v>6</v>
      </c>
      <c r="B220" s="37" t="s">
        <v>516</v>
      </c>
      <c r="C220" s="37" t="s">
        <v>517</v>
      </c>
      <c r="D220" s="38" t="str">
        <f>'10 Sikring'!C29</f>
        <v>T</v>
      </c>
      <c r="E220" s="37">
        <f>'10 Sikring'!D29</f>
        <v>0</v>
      </c>
      <c r="F220" s="37">
        <f>'10 Sikring'!E29</f>
        <v>248</v>
      </c>
      <c r="G220" s="37">
        <f>'10 Sikring'!F29</f>
        <v>0</v>
      </c>
      <c r="H220" s="37">
        <f>'10 Sikring'!G29</f>
        <v>336</v>
      </c>
      <c r="I220" s="37">
        <f>'10 Sikring'!H29</f>
        <v>0</v>
      </c>
      <c r="J220" s="37">
        <f>'10 Sikring'!I29</f>
        <v>1160</v>
      </c>
      <c r="K220" s="37">
        <f>'10 Sikring'!J29</f>
        <v>0</v>
      </c>
      <c r="L220" s="37">
        <f>'10 Sikring'!K29</f>
        <v>0</v>
      </c>
      <c r="M220" s="37">
        <f>'10 Sikring'!L29</f>
        <v>0</v>
      </c>
      <c r="N220" s="37">
        <f>'10 Sikring'!M29</f>
        <v>0</v>
      </c>
      <c r="O220" s="37">
        <f>'10 Sikring'!N29</f>
        <v>0</v>
      </c>
      <c r="P220" s="37">
        <f>'10 Sikring'!O29</f>
        <v>0</v>
      </c>
      <c r="Q220" s="37">
        <f>'10 Sikring'!P29</f>
        <v>0</v>
      </c>
      <c r="R220" s="37">
        <f>'10 Sikring'!Q29</f>
        <v>0</v>
      </c>
      <c r="S220" s="37">
        <f>'10 Sikring'!R29</f>
        <v>1744</v>
      </c>
      <c r="T220" s="39">
        <f>'10 Sikring'!S29</f>
        <v>1477</v>
      </c>
      <c r="U220" s="40">
        <f>'10 Sikring'!T29</f>
        <v>2575888</v>
      </c>
      <c r="V220" s="37" t="s">
        <v>98</v>
      </c>
      <c r="W220" s="37" t="s">
        <v>98</v>
      </c>
      <c r="X220" s="37" t="s">
        <v>98</v>
      </c>
    </row>
    <row r="221" spans="1:24" s="37" customFormat="1" x14ac:dyDescent="0.25">
      <c r="A221" s="37">
        <v>6</v>
      </c>
      <c r="B221" s="37" t="s">
        <v>518</v>
      </c>
      <c r="C221" s="37" t="s">
        <v>519</v>
      </c>
      <c r="D221" s="38" t="str">
        <f>'10 Sikring'!C30</f>
        <v>T</v>
      </c>
      <c r="E221" s="37">
        <f>'10 Sikring'!D30</f>
        <v>0</v>
      </c>
      <c r="F221" s="37">
        <f>'10 Sikring'!E30</f>
        <v>20</v>
      </c>
      <c r="G221" s="37">
        <f>'10 Sikring'!F30</f>
        <v>0</v>
      </c>
      <c r="H221" s="37">
        <f>'10 Sikring'!G30</f>
        <v>20</v>
      </c>
      <c r="I221" s="37">
        <f>'10 Sikring'!H30</f>
        <v>0</v>
      </c>
      <c r="J221" s="37">
        <f>'10 Sikring'!I30</f>
        <v>60</v>
      </c>
      <c r="K221" s="37">
        <f>'10 Sikring'!J30</f>
        <v>0</v>
      </c>
      <c r="L221" s="37">
        <f>'10 Sikring'!K30</f>
        <v>0</v>
      </c>
      <c r="M221" s="37">
        <f>'10 Sikring'!L30</f>
        <v>0</v>
      </c>
      <c r="N221" s="37">
        <f>'10 Sikring'!M30</f>
        <v>0</v>
      </c>
      <c r="O221" s="37">
        <f>'10 Sikring'!N30</f>
        <v>0</v>
      </c>
      <c r="P221" s="37">
        <f>'10 Sikring'!O30</f>
        <v>0</v>
      </c>
      <c r="Q221" s="37">
        <f>'10 Sikring'!P30</f>
        <v>0</v>
      </c>
      <c r="R221" s="37">
        <f>'10 Sikring'!Q30</f>
        <v>0</v>
      </c>
      <c r="S221" s="37">
        <f>'10 Sikring'!R30</f>
        <v>100</v>
      </c>
      <c r="T221" s="39">
        <f>'10 Sikring'!S30</f>
        <v>2068</v>
      </c>
      <c r="U221" s="40">
        <f>'10 Sikring'!T30</f>
        <v>206800</v>
      </c>
      <c r="V221" s="37" t="s">
        <v>98</v>
      </c>
      <c r="W221" s="37" t="s">
        <v>98</v>
      </c>
      <c r="X221" s="37" t="s">
        <v>98</v>
      </c>
    </row>
    <row r="222" spans="1:24" s="37" customFormat="1" x14ac:dyDescent="0.25">
      <c r="A222" s="37">
        <v>5</v>
      </c>
      <c r="B222" s="37" t="s">
        <v>520</v>
      </c>
      <c r="C222" s="37" t="s">
        <v>502</v>
      </c>
      <c r="D222" s="38" t="str">
        <f>'10 Sikring'!C31</f>
        <v>STK</v>
      </c>
      <c r="E222" s="37">
        <f>'10 Sikring'!D31</f>
        <v>0</v>
      </c>
      <c r="F222" s="37">
        <f>'10 Sikring'!E31</f>
        <v>0</v>
      </c>
      <c r="G222" s="37">
        <f>'10 Sikring'!F31</f>
        <v>0</v>
      </c>
      <c r="H222" s="37">
        <f>'10 Sikring'!G31</f>
        <v>0</v>
      </c>
      <c r="I222" s="37">
        <f>'10 Sikring'!H31</f>
        <v>0</v>
      </c>
      <c r="J222" s="37">
        <f>'10 Sikring'!I31</f>
        <v>0</v>
      </c>
      <c r="K222" s="37">
        <f>'10 Sikring'!J31</f>
        <v>0</v>
      </c>
      <c r="L222" s="37">
        <f>'10 Sikring'!K31</f>
        <v>0</v>
      </c>
      <c r="M222" s="37">
        <f>'10 Sikring'!L31</f>
        <v>0</v>
      </c>
      <c r="N222" s="37">
        <f>'10 Sikring'!M31</f>
        <v>0</v>
      </c>
      <c r="O222" s="37">
        <f>'10 Sikring'!N31</f>
        <v>0</v>
      </c>
      <c r="P222" s="37">
        <f>'10 Sikring'!O31</f>
        <v>0</v>
      </c>
      <c r="Q222" s="37">
        <f>'10 Sikring'!P31</f>
        <v>0</v>
      </c>
      <c r="R222" s="37">
        <f>'10 Sikring'!Q31</f>
        <v>0</v>
      </c>
      <c r="S222" s="37">
        <f>'10 Sikring'!R31</f>
        <v>0</v>
      </c>
      <c r="T222" s="39">
        <f>'10 Sikring'!S31</f>
        <v>0</v>
      </c>
      <c r="U222" s="40">
        <f>'10 Sikring'!T31</f>
        <v>0</v>
      </c>
      <c r="V222" s="37" t="s">
        <v>98</v>
      </c>
      <c r="W222" s="37" t="s">
        <v>98</v>
      </c>
      <c r="X222" s="37" t="s">
        <v>98</v>
      </c>
    </row>
    <row r="223" spans="1:24" s="32" customFormat="1" ht="15.75" x14ac:dyDescent="0.25">
      <c r="A223" s="32">
        <v>3</v>
      </c>
      <c r="B223" s="32" t="s">
        <v>46</v>
      </c>
      <c r="C223" s="32" t="s">
        <v>47</v>
      </c>
      <c r="D223" s="33" t="str">
        <f>'12 Broer og konstruktioner'!C2</f>
        <v/>
      </c>
      <c r="E223" s="32">
        <f>'12 Broer og konstruktioner'!D2</f>
        <v>0</v>
      </c>
      <c r="F223" s="32">
        <f>'12 Broer og konstruktioner'!E2</f>
        <v>0</v>
      </c>
      <c r="G223" s="32">
        <f>'12 Broer og konstruktioner'!F2</f>
        <v>0</v>
      </c>
      <c r="H223" s="32">
        <f>'12 Broer og konstruktioner'!G2</f>
        <v>0</v>
      </c>
      <c r="I223" s="32">
        <f>'12 Broer og konstruktioner'!H2</f>
        <v>0</v>
      </c>
      <c r="J223" s="32">
        <f>'12 Broer og konstruktioner'!I2</f>
        <v>0</v>
      </c>
      <c r="K223" s="32">
        <f>'12 Broer og konstruktioner'!J2</f>
        <v>0</v>
      </c>
      <c r="L223" s="32">
        <f>'12 Broer og konstruktioner'!K2</f>
        <v>0</v>
      </c>
      <c r="M223" s="32">
        <f>'12 Broer og konstruktioner'!L2</f>
        <v>0</v>
      </c>
      <c r="N223" s="32">
        <f>'12 Broer og konstruktioner'!M2</f>
        <v>0</v>
      </c>
      <c r="O223" s="32">
        <f>'12 Broer og konstruktioner'!N2</f>
        <v>0</v>
      </c>
      <c r="P223" s="32">
        <f>'12 Broer og konstruktioner'!O2</f>
        <v>0</v>
      </c>
      <c r="Q223" s="32">
        <f>'12 Broer og konstruktioner'!P2</f>
        <v>0</v>
      </c>
      <c r="R223" s="32">
        <f>'12 Broer og konstruktioner'!Q2</f>
        <v>0</v>
      </c>
      <c r="S223" s="32">
        <f>'12 Broer og konstruktioner'!R2</f>
        <v>0</v>
      </c>
      <c r="T223" s="34">
        <f>'12 Broer og konstruktioner'!S2</f>
        <v>0</v>
      </c>
      <c r="U223" s="35">
        <f>'12 Broer og konstruktioner'!T2</f>
        <v>0</v>
      </c>
      <c r="V223" s="32" t="s">
        <v>98</v>
      </c>
      <c r="W223" s="32" t="s">
        <v>98</v>
      </c>
      <c r="X223" s="32" t="s">
        <v>98</v>
      </c>
    </row>
    <row r="224" spans="1:24" s="36" customFormat="1" x14ac:dyDescent="0.25">
      <c r="A224" s="28">
        <v>4</v>
      </c>
      <c r="B224" s="28" t="s">
        <v>521</v>
      </c>
      <c r="C224" s="28" t="s">
        <v>336</v>
      </c>
      <c r="D224" s="50" t="str">
        <f>'12 Broer og konstruktioner'!C3</f>
        <v/>
      </c>
      <c r="E224" s="28">
        <f>'12 Broer og konstruktioner'!D3</f>
        <v>0</v>
      </c>
      <c r="F224" s="28">
        <f>'12 Broer og konstruktioner'!E3</f>
        <v>0</v>
      </c>
      <c r="G224" s="28">
        <f>'12 Broer og konstruktioner'!F3</f>
        <v>0</v>
      </c>
      <c r="H224" s="28">
        <f>'12 Broer og konstruktioner'!G3</f>
        <v>0</v>
      </c>
      <c r="I224" s="28">
        <f>'12 Broer og konstruktioner'!H3</f>
        <v>0</v>
      </c>
      <c r="J224" s="28">
        <f>'12 Broer og konstruktioner'!I3</f>
        <v>0</v>
      </c>
      <c r="K224" s="28">
        <f>'12 Broer og konstruktioner'!J3</f>
        <v>0</v>
      </c>
      <c r="L224" s="28">
        <f>'12 Broer og konstruktioner'!K3</f>
        <v>0</v>
      </c>
      <c r="M224" s="28">
        <f>'12 Broer og konstruktioner'!L3</f>
        <v>0</v>
      </c>
      <c r="N224" s="28">
        <f>'12 Broer og konstruktioner'!M3</f>
        <v>0</v>
      </c>
      <c r="O224" s="28">
        <f>'12 Broer og konstruktioner'!N3</f>
        <v>0</v>
      </c>
      <c r="P224" s="28">
        <f>'12 Broer og konstruktioner'!O3</f>
        <v>0</v>
      </c>
      <c r="Q224" s="28">
        <f>'12 Broer og konstruktioner'!P3</f>
        <v>0</v>
      </c>
      <c r="R224" s="28">
        <f>'12 Broer og konstruktioner'!Q3</f>
        <v>0</v>
      </c>
      <c r="S224" s="28">
        <f>'12 Broer og konstruktioner'!R3</f>
        <v>0</v>
      </c>
      <c r="T224" s="51">
        <f>'12 Broer og konstruktioner'!S3</f>
        <v>0</v>
      </c>
      <c r="U224" s="52">
        <f>'12 Broer og konstruktioner'!T3</f>
        <v>0</v>
      </c>
      <c r="V224" s="28" t="s">
        <v>98</v>
      </c>
      <c r="W224" s="28" t="s">
        <v>98</v>
      </c>
      <c r="X224" s="28" t="s">
        <v>98</v>
      </c>
    </row>
    <row r="225" spans="1:24" s="37" customFormat="1" x14ac:dyDescent="0.25">
      <c r="A225" s="37">
        <v>5</v>
      </c>
      <c r="B225" s="37" t="s">
        <v>522</v>
      </c>
      <c r="C225" s="37" t="s">
        <v>523</v>
      </c>
      <c r="D225" s="38" t="str">
        <f>'12 Broer og konstruktioner'!C4</f>
        <v>SUM</v>
      </c>
      <c r="E225" s="37">
        <f>'12 Broer og konstruktioner'!D4</f>
        <v>0</v>
      </c>
      <c r="F225" s="37">
        <f>'12 Broer og konstruktioner'!E4</f>
        <v>1</v>
      </c>
      <c r="G225" s="37">
        <f>'12 Broer og konstruktioner'!F4</f>
        <v>0</v>
      </c>
      <c r="H225" s="37">
        <f>'12 Broer og konstruktioner'!G4</f>
        <v>1</v>
      </c>
      <c r="I225" s="37">
        <f>'12 Broer og konstruktioner'!H4</f>
        <v>0</v>
      </c>
      <c r="J225" s="37">
        <f>'12 Broer og konstruktioner'!I4</f>
        <v>0</v>
      </c>
      <c r="K225" s="37">
        <f>'12 Broer og konstruktioner'!J4</f>
        <v>0</v>
      </c>
      <c r="L225" s="37">
        <f>'12 Broer og konstruktioner'!K4</f>
        <v>0</v>
      </c>
      <c r="M225" s="37">
        <f>'12 Broer og konstruktioner'!L4</f>
        <v>0</v>
      </c>
      <c r="N225" s="37">
        <f>'12 Broer og konstruktioner'!M4</f>
        <v>0</v>
      </c>
      <c r="O225" s="37">
        <f>'12 Broer og konstruktioner'!N4</f>
        <v>0</v>
      </c>
      <c r="P225" s="37">
        <f>'12 Broer og konstruktioner'!O4</f>
        <v>0</v>
      </c>
      <c r="Q225" s="37">
        <f>'12 Broer og konstruktioner'!P4</f>
        <v>0</v>
      </c>
      <c r="R225" s="37">
        <f>'12 Broer og konstruktioner'!Q4</f>
        <v>0</v>
      </c>
      <c r="S225" s="37">
        <f>'12 Broer og konstruktioner'!R4</f>
        <v>2</v>
      </c>
      <c r="T225" s="39">
        <f>'12 Broer og konstruktioner'!S4</f>
        <v>33461</v>
      </c>
      <c r="U225" s="40">
        <f>'12 Broer og konstruktioner'!T4</f>
        <v>66922</v>
      </c>
      <c r="V225" s="37" t="s">
        <v>98</v>
      </c>
      <c r="W225" s="37" t="s">
        <v>822</v>
      </c>
      <c r="X225" s="37" t="s">
        <v>98</v>
      </c>
    </row>
    <row r="226" spans="1:24" s="36" customFormat="1" x14ac:dyDescent="0.25">
      <c r="A226" s="28">
        <v>4</v>
      </c>
      <c r="B226" s="28" t="s">
        <v>524</v>
      </c>
      <c r="C226" s="28" t="s">
        <v>525</v>
      </c>
      <c r="D226" s="50" t="str">
        <f>'12 Broer og konstruktioner'!C5</f>
        <v/>
      </c>
      <c r="E226" s="28">
        <f>'12 Broer og konstruktioner'!D5</f>
        <v>0</v>
      </c>
      <c r="F226" s="28">
        <f>'12 Broer og konstruktioner'!E5</f>
        <v>0</v>
      </c>
      <c r="G226" s="28">
        <f>'12 Broer og konstruktioner'!F5</f>
        <v>0</v>
      </c>
      <c r="H226" s="28">
        <f>'12 Broer og konstruktioner'!G5</f>
        <v>0</v>
      </c>
      <c r="I226" s="28">
        <f>'12 Broer og konstruktioner'!H5</f>
        <v>0</v>
      </c>
      <c r="J226" s="28">
        <f>'12 Broer og konstruktioner'!I5</f>
        <v>0</v>
      </c>
      <c r="K226" s="28">
        <f>'12 Broer og konstruktioner'!J5</f>
        <v>0</v>
      </c>
      <c r="L226" s="28">
        <f>'12 Broer og konstruktioner'!K5</f>
        <v>0</v>
      </c>
      <c r="M226" s="28">
        <f>'12 Broer og konstruktioner'!L5</f>
        <v>0</v>
      </c>
      <c r="N226" s="28">
        <f>'12 Broer og konstruktioner'!M5</f>
        <v>0</v>
      </c>
      <c r="O226" s="28">
        <f>'12 Broer og konstruktioner'!N5</f>
        <v>0</v>
      </c>
      <c r="P226" s="28">
        <f>'12 Broer og konstruktioner'!O5</f>
        <v>0</v>
      </c>
      <c r="Q226" s="28">
        <f>'12 Broer og konstruktioner'!P5</f>
        <v>0</v>
      </c>
      <c r="R226" s="28">
        <f>'12 Broer og konstruktioner'!Q5</f>
        <v>0</v>
      </c>
      <c r="S226" s="28">
        <f>'12 Broer og konstruktioner'!R5</f>
        <v>0</v>
      </c>
      <c r="T226" s="51">
        <f>'12 Broer og konstruktioner'!S5</f>
        <v>0</v>
      </c>
      <c r="U226" s="52">
        <f>'12 Broer og konstruktioner'!T5</f>
        <v>0</v>
      </c>
      <c r="V226" s="28" t="s">
        <v>98</v>
      </c>
      <c r="W226" s="28" t="s">
        <v>98</v>
      </c>
      <c r="X226" s="28" t="s">
        <v>98</v>
      </c>
    </row>
    <row r="227" spans="1:24" s="37" customFormat="1" x14ac:dyDescent="0.25">
      <c r="A227" s="37">
        <v>5</v>
      </c>
      <c r="B227" s="37" t="s">
        <v>526</v>
      </c>
      <c r="C227" s="37" t="s">
        <v>527</v>
      </c>
      <c r="D227" s="38" t="str">
        <f>'12 Broer og konstruktioner'!C6</f>
        <v>M</v>
      </c>
      <c r="E227" s="37">
        <f>'12 Broer og konstruktioner'!D6</f>
        <v>0</v>
      </c>
      <c r="F227" s="37">
        <f>'12 Broer og konstruktioner'!E6</f>
        <v>30</v>
      </c>
      <c r="G227" s="37">
        <f>'12 Broer og konstruktioner'!F6</f>
        <v>0</v>
      </c>
      <c r="H227" s="37">
        <f>'12 Broer og konstruktioner'!G6</f>
        <v>43</v>
      </c>
      <c r="I227" s="37">
        <f>'12 Broer og konstruktioner'!H6</f>
        <v>0</v>
      </c>
      <c r="J227" s="37">
        <f>'12 Broer og konstruktioner'!I6</f>
        <v>0</v>
      </c>
      <c r="K227" s="37">
        <f>'12 Broer og konstruktioner'!J6</f>
        <v>0</v>
      </c>
      <c r="L227" s="37">
        <f>'12 Broer og konstruktioner'!K6</f>
        <v>0</v>
      </c>
      <c r="M227" s="37">
        <f>'12 Broer og konstruktioner'!L6</f>
        <v>0</v>
      </c>
      <c r="N227" s="37">
        <f>'12 Broer og konstruktioner'!M6</f>
        <v>0</v>
      </c>
      <c r="O227" s="37">
        <f>'12 Broer og konstruktioner'!N6</f>
        <v>0</v>
      </c>
      <c r="P227" s="37">
        <f>'12 Broer og konstruktioner'!O6</f>
        <v>0</v>
      </c>
      <c r="Q227" s="37">
        <f>'12 Broer og konstruktioner'!P6</f>
        <v>0</v>
      </c>
      <c r="R227" s="37">
        <f>'12 Broer og konstruktioner'!Q6</f>
        <v>0</v>
      </c>
      <c r="S227" s="37">
        <f>'12 Broer og konstruktioner'!R6</f>
        <v>73</v>
      </c>
      <c r="T227" s="39">
        <f>'12 Broer og konstruktioner'!S6</f>
        <v>9899</v>
      </c>
      <c r="U227" s="40">
        <f>'12 Broer og konstruktioner'!T6</f>
        <v>722627</v>
      </c>
      <c r="V227" s="37" t="s">
        <v>98</v>
      </c>
      <c r="W227" s="37" t="s">
        <v>822</v>
      </c>
      <c r="X227" s="37" t="s">
        <v>98</v>
      </c>
    </row>
    <row r="228" spans="1:24" s="36" customFormat="1" x14ac:dyDescent="0.25">
      <c r="A228" s="28">
        <v>4</v>
      </c>
      <c r="B228" s="28" t="s">
        <v>528</v>
      </c>
      <c r="C228" s="28" t="s">
        <v>529</v>
      </c>
      <c r="D228" s="50" t="str">
        <f>'12 Broer og konstruktioner'!C7</f>
        <v/>
      </c>
      <c r="E228" s="28">
        <f>'12 Broer og konstruktioner'!D7</f>
        <v>0</v>
      </c>
      <c r="F228" s="28">
        <f>'12 Broer og konstruktioner'!E7</f>
        <v>0</v>
      </c>
      <c r="G228" s="28">
        <f>'12 Broer og konstruktioner'!F7</f>
        <v>0</v>
      </c>
      <c r="H228" s="28">
        <f>'12 Broer og konstruktioner'!G7</f>
        <v>0</v>
      </c>
      <c r="I228" s="28">
        <f>'12 Broer og konstruktioner'!H7</f>
        <v>0</v>
      </c>
      <c r="J228" s="28">
        <f>'12 Broer og konstruktioner'!I7</f>
        <v>0</v>
      </c>
      <c r="K228" s="28">
        <f>'12 Broer og konstruktioner'!J7</f>
        <v>0</v>
      </c>
      <c r="L228" s="28">
        <f>'12 Broer og konstruktioner'!K7</f>
        <v>0</v>
      </c>
      <c r="M228" s="28">
        <f>'12 Broer og konstruktioner'!L7</f>
        <v>0</v>
      </c>
      <c r="N228" s="28">
        <f>'12 Broer og konstruktioner'!M7</f>
        <v>0</v>
      </c>
      <c r="O228" s="28">
        <f>'12 Broer og konstruktioner'!N7</f>
        <v>0</v>
      </c>
      <c r="P228" s="28">
        <f>'12 Broer og konstruktioner'!O7</f>
        <v>0</v>
      </c>
      <c r="Q228" s="28">
        <f>'12 Broer og konstruktioner'!P7</f>
        <v>0</v>
      </c>
      <c r="R228" s="28">
        <f>'12 Broer og konstruktioner'!Q7</f>
        <v>0</v>
      </c>
      <c r="S228" s="28">
        <f>'12 Broer og konstruktioner'!R7</f>
        <v>0</v>
      </c>
      <c r="T228" s="51">
        <f>'12 Broer og konstruktioner'!S7</f>
        <v>0</v>
      </c>
      <c r="U228" s="52">
        <f>'12 Broer og konstruktioner'!T7</f>
        <v>0</v>
      </c>
      <c r="V228" s="28" t="s">
        <v>98</v>
      </c>
      <c r="W228" s="28" t="s">
        <v>98</v>
      </c>
      <c r="X228" s="28" t="s">
        <v>98</v>
      </c>
    </row>
    <row r="229" spans="1:24" s="37" customFormat="1" x14ac:dyDescent="0.25">
      <c r="A229" s="37">
        <v>5</v>
      </c>
      <c r="B229" s="37" t="s">
        <v>530</v>
      </c>
      <c r="C229" s="37" t="s">
        <v>531</v>
      </c>
      <c r="D229" s="38" t="str">
        <f>'12 Broer og konstruktioner'!C8</f>
        <v/>
      </c>
      <c r="E229" s="37">
        <f>'12 Broer og konstruktioner'!D8</f>
        <v>0</v>
      </c>
      <c r="F229" s="37">
        <f>'12 Broer og konstruktioner'!E8</f>
        <v>0</v>
      </c>
      <c r="G229" s="37">
        <f>'12 Broer og konstruktioner'!F8</f>
        <v>0</v>
      </c>
      <c r="H229" s="37">
        <f>'12 Broer og konstruktioner'!G8</f>
        <v>0</v>
      </c>
      <c r="I229" s="37">
        <f>'12 Broer og konstruktioner'!H8</f>
        <v>0</v>
      </c>
      <c r="J229" s="37">
        <f>'12 Broer og konstruktioner'!I8</f>
        <v>0</v>
      </c>
      <c r="K229" s="37">
        <f>'12 Broer og konstruktioner'!J8</f>
        <v>0</v>
      </c>
      <c r="L229" s="37">
        <f>'12 Broer og konstruktioner'!K8</f>
        <v>0</v>
      </c>
      <c r="M229" s="37">
        <f>'12 Broer og konstruktioner'!L8</f>
        <v>0</v>
      </c>
      <c r="N229" s="37">
        <f>'12 Broer og konstruktioner'!M8</f>
        <v>0</v>
      </c>
      <c r="O229" s="37">
        <f>'12 Broer og konstruktioner'!N8</f>
        <v>0</v>
      </c>
      <c r="P229" s="37">
        <f>'12 Broer og konstruktioner'!O8</f>
        <v>0</v>
      </c>
      <c r="Q229" s="37">
        <f>'12 Broer og konstruktioner'!P8</f>
        <v>0</v>
      </c>
      <c r="R229" s="37">
        <f>'12 Broer og konstruktioner'!Q8</f>
        <v>0</v>
      </c>
      <c r="S229" s="37">
        <f>'12 Broer og konstruktioner'!R8</f>
        <v>0</v>
      </c>
      <c r="T229" s="39">
        <f>'12 Broer og konstruktioner'!S8</f>
        <v>0</v>
      </c>
      <c r="U229" s="40">
        <f>'12 Broer og konstruktioner'!T8</f>
        <v>0</v>
      </c>
      <c r="V229" s="37" t="s">
        <v>98</v>
      </c>
      <c r="W229" s="37" t="s">
        <v>98</v>
      </c>
      <c r="X229" s="37" t="s">
        <v>98</v>
      </c>
    </row>
    <row r="230" spans="1:24" s="37" customFormat="1" x14ac:dyDescent="0.25">
      <c r="A230" s="37">
        <v>6</v>
      </c>
      <c r="B230" s="37" t="s">
        <v>532</v>
      </c>
      <c r="C230" s="37" t="s">
        <v>533</v>
      </c>
      <c r="D230" s="38" t="str">
        <f>'12 Broer og konstruktioner'!C9</f>
        <v>M</v>
      </c>
      <c r="E230" s="37">
        <f>'12 Broer og konstruktioner'!D9</f>
        <v>0</v>
      </c>
      <c r="F230" s="37">
        <f>'12 Broer og konstruktioner'!E9</f>
        <v>61</v>
      </c>
      <c r="G230" s="37">
        <f>'12 Broer og konstruktioner'!F9</f>
        <v>0</v>
      </c>
      <c r="H230" s="37">
        <f>'12 Broer og konstruktioner'!G9</f>
        <v>22</v>
      </c>
      <c r="I230" s="37">
        <f>'12 Broer og konstruktioner'!H9</f>
        <v>0</v>
      </c>
      <c r="J230" s="37">
        <f>'12 Broer og konstruktioner'!I9</f>
        <v>0</v>
      </c>
      <c r="K230" s="37">
        <f>'12 Broer og konstruktioner'!J9</f>
        <v>0</v>
      </c>
      <c r="L230" s="37">
        <f>'12 Broer og konstruktioner'!K9</f>
        <v>0</v>
      </c>
      <c r="M230" s="37">
        <f>'12 Broer og konstruktioner'!L9</f>
        <v>0</v>
      </c>
      <c r="N230" s="37">
        <f>'12 Broer og konstruktioner'!M9</f>
        <v>0</v>
      </c>
      <c r="O230" s="37">
        <f>'12 Broer og konstruktioner'!N9</f>
        <v>0</v>
      </c>
      <c r="P230" s="37">
        <f>'12 Broer og konstruktioner'!O9</f>
        <v>0</v>
      </c>
      <c r="Q230" s="37">
        <f>'12 Broer og konstruktioner'!P9</f>
        <v>0</v>
      </c>
      <c r="R230" s="37">
        <f>'12 Broer og konstruktioner'!Q9</f>
        <v>0</v>
      </c>
      <c r="S230" s="37">
        <f>'12 Broer og konstruktioner'!R9</f>
        <v>83</v>
      </c>
      <c r="T230" s="39">
        <f>'12 Broer og konstruktioner'!S9</f>
        <v>1789</v>
      </c>
      <c r="U230" s="40">
        <f>'12 Broer og konstruktioner'!T9</f>
        <v>148487</v>
      </c>
      <c r="V230" s="37" t="s">
        <v>98</v>
      </c>
      <c r="W230" s="37" t="s">
        <v>822</v>
      </c>
      <c r="X230" s="37" t="s">
        <v>98</v>
      </c>
    </row>
    <row r="231" spans="1:24" s="37" customFormat="1" x14ac:dyDescent="0.25">
      <c r="A231" s="37">
        <v>6</v>
      </c>
      <c r="B231" s="37" t="s">
        <v>534</v>
      </c>
      <c r="C231" s="37" t="s">
        <v>535</v>
      </c>
      <c r="D231" s="38" t="str">
        <f>'12 Broer og konstruktioner'!C10</f>
        <v>M</v>
      </c>
      <c r="E231" s="37">
        <f>'12 Broer og konstruktioner'!D10</f>
        <v>0</v>
      </c>
      <c r="F231" s="37">
        <f>'12 Broer og konstruktioner'!E10</f>
        <v>61</v>
      </c>
      <c r="G231" s="37">
        <f>'12 Broer og konstruktioner'!F10</f>
        <v>0</v>
      </c>
      <c r="H231" s="37">
        <f>'12 Broer og konstruktioner'!G10</f>
        <v>10</v>
      </c>
      <c r="I231" s="37">
        <f>'12 Broer og konstruktioner'!H10</f>
        <v>0</v>
      </c>
      <c r="J231" s="37">
        <f>'12 Broer og konstruktioner'!I10</f>
        <v>0</v>
      </c>
      <c r="K231" s="37">
        <f>'12 Broer og konstruktioner'!J10</f>
        <v>0</v>
      </c>
      <c r="L231" s="37">
        <f>'12 Broer og konstruktioner'!K10</f>
        <v>0</v>
      </c>
      <c r="M231" s="37">
        <f>'12 Broer og konstruktioner'!L10</f>
        <v>0</v>
      </c>
      <c r="N231" s="37">
        <f>'12 Broer og konstruktioner'!M10</f>
        <v>0</v>
      </c>
      <c r="O231" s="37">
        <f>'12 Broer og konstruktioner'!N10</f>
        <v>0</v>
      </c>
      <c r="P231" s="37">
        <f>'12 Broer og konstruktioner'!O10</f>
        <v>0</v>
      </c>
      <c r="Q231" s="37">
        <f>'12 Broer og konstruktioner'!P10</f>
        <v>0</v>
      </c>
      <c r="R231" s="37">
        <f>'12 Broer og konstruktioner'!Q10</f>
        <v>0</v>
      </c>
      <c r="S231" s="37">
        <f>'12 Broer og konstruktioner'!R10</f>
        <v>71</v>
      </c>
      <c r="T231" s="39">
        <f>'12 Broer og konstruktioner'!S10</f>
        <v>1697</v>
      </c>
      <c r="U231" s="40">
        <f>'12 Broer og konstruktioner'!T10</f>
        <v>120487</v>
      </c>
      <c r="V231" s="37" t="s">
        <v>826</v>
      </c>
      <c r="W231" s="37" t="s">
        <v>822</v>
      </c>
      <c r="X231" s="37" t="s">
        <v>98</v>
      </c>
    </row>
    <row r="232" spans="1:24" s="37" customFormat="1" x14ac:dyDescent="0.25">
      <c r="A232" s="37">
        <v>6</v>
      </c>
      <c r="B232" s="37" t="s">
        <v>536</v>
      </c>
      <c r="C232" s="37" t="s">
        <v>537</v>
      </c>
      <c r="D232" s="38" t="str">
        <f>'12 Broer og konstruktioner'!C11</f>
        <v>M</v>
      </c>
      <c r="E232" s="37">
        <f>'12 Broer og konstruktioner'!D11</f>
        <v>0</v>
      </c>
      <c r="F232" s="37">
        <f>'12 Broer og konstruktioner'!E11</f>
        <v>61</v>
      </c>
      <c r="G232" s="37">
        <f>'12 Broer og konstruktioner'!F11</f>
        <v>0</v>
      </c>
      <c r="H232" s="37">
        <f>'12 Broer og konstruktioner'!G11</f>
        <v>22</v>
      </c>
      <c r="I232" s="37">
        <f>'12 Broer og konstruktioner'!H11</f>
        <v>0</v>
      </c>
      <c r="J232" s="37">
        <f>'12 Broer og konstruktioner'!I11</f>
        <v>0</v>
      </c>
      <c r="K232" s="37">
        <f>'12 Broer og konstruktioner'!J11</f>
        <v>0</v>
      </c>
      <c r="L232" s="37">
        <f>'12 Broer og konstruktioner'!K11</f>
        <v>0</v>
      </c>
      <c r="M232" s="37">
        <f>'12 Broer og konstruktioner'!L11</f>
        <v>0</v>
      </c>
      <c r="N232" s="37">
        <f>'12 Broer og konstruktioner'!M11</f>
        <v>0</v>
      </c>
      <c r="O232" s="37">
        <f>'12 Broer og konstruktioner'!N11</f>
        <v>0</v>
      </c>
      <c r="P232" s="37">
        <f>'12 Broer og konstruktioner'!O11</f>
        <v>0</v>
      </c>
      <c r="Q232" s="37">
        <f>'12 Broer og konstruktioner'!P11</f>
        <v>0</v>
      </c>
      <c r="R232" s="37">
        <f>'12 Broer og konstruktioner'!Q11</f>
        <v>0</v>
      </c>
      <c r="S232" s="37">
        <f>'12 Broer og konstruktioner'!R11</f>
        <v>83</v>
      </c>
      <c r="T232" s="39">
        <f>'12 Broer og konstruktioner'!S11</f>
        <v>376</v>
      </c>
      <c r="U232" s="40">
        <f>'12 Broer og konstruktioner'!T11</f>
        <v>31208</v>
      </c>
      <c r="V232" s="37" t="s">
        <v>98</v>
      </c>
      <c r="W232" s="37" t="s">
        <v>822</v>
      </c>
      <c r="X232" s="37" t="s">
        <v>98</v>
      </c>
    </row>
    <row r="233" spans="1:24" s="37" customFormat="1" x14ac:dyDescent="0.25">
      <c r="A233" s="37">
        <v>5</v>
      </c>
      <c r="B233" s="37" t="s">
        <v>538</v>
      </c>
      <c r="C233" s="37" t="s">
        <v>539</v>
      </c>
      <c r="D233" s="38" t="str">
        <f>'12 Broer og konstruktioner'!C12</f>
        <v>M</v>
      </c>
      <c r="E233" s="37">
        <f>'12 Broer og konstruktioner'!D12</f>
        <v>0</v>
      </c>
      <c r="F233" s="37">
        <f>'12 Broer og konstruktioner'!E12</f>
        <v>0</v>
      </c>
      <c r="G233" s="37">
        <f>'12 Broer og konstruktioner'!F12</f>
        <v>0</v>
      </c>
      <c r="H233" s="37">
        <f>'12 Broer og konstruktioner'!G12</f>
        <v>0</v>
      </c>
      <c r="I233" s="37">
        <f>'12 Broer og konstruktioner'!H12</f>
        <v>0</v>
      </c>
      <c r="J233" s="37">
        <f>'12 Broer og konstruktioner'!I12</f>
        <v>0</v>
      </c>
      <c r="K233" s="37">
        <f>'12 Broer og konstruktioner'!J12</f>
        <v>0</v>
      </c>
      <c r="L233" s="37">
        <f>'12 Broer og konstruktioner'!K12</f>
        <v>0</v>
      </c>
      <c r="M233" s="37">
        <f>'12 Broer og konstruktioner'!L12</f>
        <v>0</v>
      </c>
      <c r="N233" s="37">
        <f>'12 Broer og konstruktioner'!M12</f>
        <v>0</v>
      </c>
      <c r="O233" s="37">
        <f>'12 Broer og konstruktioner'!N12</f>
        <v>0</v>
      </c>
      <c r="P233" s="37">
        <f>'12 Broer og konstruktioner'!O12</f>
        <v>0</v>
      </c>
      <c r="Q233" s="37">
        <f>'12 Broer og konstruktioner'!P12</f>
        <v>0</v>
      </c>
      <c r="R233" s="37">
        <f>'12 Broer og konstruktioner'!Q12</f>
        <v>0</v>
      </c>
      <c r="S233" s="37">
        <f>'12 Broer og konstruktioner'!R12</f>
        <v>0</v>
      </c>
      <c r="T233" s="39">
        <f>'12 Broer og konstruktioner'!S12</f>
        <v>0</v>
      </c>
      <c r="U233" s="40">
        <f>'12 Broer og konstruktioner'!T12</f>
        <v>0</v>
      </c>
      <c r="V233" s="37" t="s">
        <v>98</v>
      </c>
      <c r="W233" s="37" t="s">
        <v>98</v>
      </c>
      <c r="X233" s="37" t="s">
        <v>98</v>
      </c>
    </row>
    <row r="234" spans="1:24" s="37" customFormat="1" x14ac:dyDescent="0.25">
      <c r="A234" s="37">
        <v>6</v>
      </c>
      <c r="B234" s="37" t="s">
        <v>540</v>
      </c>
      <c r="C234" s="37" t="s">
        <v>541</v>
      </c>
      <c r="D234" s="38" t="str">
        <f>'12 Broer og konstruktioner'!C13</f>
        <v>M</v>
      </c>
      <c r="E234" s="37">
        <f>'12 Broer og konstruktioner'!D13</f>
        <v>0</v>
      </c>
      <c r="F234" s="37">
        <f>'12 Broer og konstruktioner'!E13</f>
        <v>28</v>
      </c>
      <c r="G234" s="37">
        <f>'12 Broer og konstruktioner'!F13</f>
        <v>0</v>
      </c>
      <c r="H234" s="37">
        <f>'12 Broer og konstruktioner'!G13</f>
        <v>0</v>
      </c>
      <c r="I234" s="37">
        <f>'12 Broer og konstruktioner'!H13</f>
        <v>0</v>
      </c>
      <c r="J234" s="37">
        <f>'12 Broer og konstruktioner'!I13</f>
        <v>0</v>
      </c>
      <c r="K234" s="37">
        <f>'12 Broer og konstruktioner'!J13</f>
        <v>0</v>
      </c>
      <c r="L234" s="37">
        <f>'12 Broer og konstruktioner'!K13</f>
        <v>0</v>
      </c>
      <c r="M234" s="37">
        <f>'12 Broer og konstruktioner'!L13</f>
        <v>0</v>
      </c>
      <c r="N234" s="37">
        <f>'12 Broer og konstruktioner'!M13</f>
        <v>0</v>
      </c>
      <c r="O234" s="37">
        <f>'12 Broer og konstruktioner'!N13</f>
        <v>0</v>
      </c>
      <c r="P234" s="37">
        <f>'12 Broer og konstruktioner'!O13</f>
        <v>0</v>
      </c>
      <c r="Q234" s="37">
        <f>'12 Broer og konstruktioner'!P13</f>
        <v>0</v>
      </c>
      <c r="R234" s="37">
        <f>'12 Broer og konstruktioner'!Q13</f>
        <v>0</v>
      </c>
      <c r="S234" s="37">
        <f>'12 Broer og konstruktioner'!R13</f>
        <v>28</v>
      </c>
      <c r="T234" s="39">
        <f>'12 Broer og konstruktioner'!S13</f>
        <v>5045</v>
      </c>
      <c r="U234" s="40">
        <f>'12 Broer og konstruktioner'!T13</f>
        <v>141260</v>
      </c>
      <c r="V234" s="37" t="s">
        <v>98</v>
      </c>
      <c r="W234" s="37" t="s">
        <v>822</v>
      </c>
      <c r="X234" s="37" t="s">
        <v>98</v>
      </c>
    </row>
    <row r="235" spans="1:24" s="37" customFormat="1" x14ac:dyDescent="0.25">
      <c r="A235" s="37">
        <v>6</v>
      </c>
      <c r="B235" s="37" t="s">
        <v>542</v>
      </c>
      <c r="C235" s="37" t="s">
        <v>543</v>
      </c>
      <c r="D235" s="38" t="str">
        <f>'12 Broer og konstruktioner'!C14</f>
        <v>M</v>
      </c>
      <c r="E235" s="37">
        <f>'12 Broer og konstruktioner'!D14</f>
        <v>0</v>
      </c>
      <c r="F235" s="37">
        <f>'12 Broer og konstruktioner'!E14</f>
        <v>30</v>
      </c>
      <c r="G235" s="37">
        <f>'12 Broer og konstruktioner'!F14</f>
        <v>0</v>
      </c>
      <c r="H235" s="37">
        <f>'12 Broer og konstruktioner'!G14</f>
        <v>10</v>
      </c>
      <c r="I235" s="37">
        <f>'12 Broer og konstruktioner'!H14</f>
        <v>0</v>
      </c>
      <c r="J235" s="37">
        <f>'12 Broer og konstruktioner'!I14</f>
        <v>0</v>
      </c>
      <c r="K235" s="37">
        <f>'12 Broer og konstruktioner'!J14</f>
        <v>0</v>
      </c>
      <c r="L235" s="37">
        <f>'12 Broer og konstruktioner'!K14</f>
        <v>0</v>
      </c>
      <c r="M235" s="37">
        <f>'12 Broer og konstruktioner'!L14</f>
        <v>0</v>
      </c>
      <c r="N235" s="37">
        <f>'12 Broer og konstruktioner'!M14</f>
        <v>0</v>
      </c>
      <c r="O235" s="37">
        <f>'12 Broer og konstruktioner'!N14</f>
        <v>0</v>
      </c>
      <c r="P235" s="37">
        <f>'12 Broer og konstruktioner'!O14</f>
        <v>0</v>
      </c>
      <c r="Q235" s="37">
        <f>'12 Broer og konstruktioner'!P14</f>
        <v>0</v>
      </c>
      <c r="R235" s="37">
        <f>'12 Broer og konstruktioner'!Q14</f>
        <v>0</v>
      </c>
      <c r="S235" s="37">
        <f>'12 Broer og konstruktioner'!R14</f>
        <v>40</v>
      </c>
      <c r="T235" s="39">
        <f>'12 Broer og konstruktioner'!S14</f>
        <v>5222</v>
      </c>
      <c r="U235" s="40">
        <f>'12 Broer og konstruktioner'!T14</f>
        <v>208880</v>
      </c>
      <c r="V235" s="37" t="s">
        <v>98</v>
      </c>
      <c r="W235" s="37" t="s">
        <v>822</v>
      </c>
      <c r="X235" s="37" t="s">
        <v>98</v>
      </c>
    </row>
    <row r="236" spans="1:24" s="37" customFormat="1" x14ac:dyDescent="0.25">
      <c r="A236" s="37">
        <v>6</v>
      </c>
      <c r="B236" s="37" t="s">
        <v>544</v>
      </c>
      <c r="C236" s="37" t="s">
        <v>545</v>
      </c>
      <c r="D236" s="38" t="str">
        <f>'12 Broer og konstruktioner'!C15</f>
        <v>M</v>
      </c>
      <c r="E236" s="37">
        <f>'12 Broer og konstruktioner'!D15</f>
        <v>0</v>
      </c>
      <c r="F236" s="37">
        <f>'12 Broer og konstruktioner'!E15</f>
        <v>3</v>
      </c>
      <c r="G236" s="37">
        <f>'12 Broer og konstruktioner'!F15</f>
        <v>0</v>
      </c>
      <c r="H236" s="37">
        <f>'12 Broer og konstruktioner'!G15</f>
        <v>4</v>
      </c>
      <c r="I236" s="37">
        <f>'12 Broer og konstruktioner'!H15</f>
        <v>0</v>
      </c>
      <c r="J236" s="37">
        <f>'12 Broer og konstruktioner'!I15</f>
        <v>0</v>
      </c>
      <c r="K236" s="37">
        <f>'12 Broer og konstruktioner'!J15</f>
        <v>0</v>
      </c>
      <c r="L236" s="37">
        <f>'12 Broer og konstruktioner'!K15</f>
        <v>0</v>
      </c>
      <c r="M236" s="37">
        <f>'12 Broer og konstruktioner'!L15</f>
        <v>0</v>
      </c>
      <c r="N236" s="37">
        <f>'12 Broer og konstruktioner'!M15</f>
        <v>0</v>
      </c>
      <c r="O236" s="37">
        <f>'12 Broer og konstruktioner'!N15</f>
        <v>0</v>
      </c>
      <c r="P236" s="37">
        <f>'12 Broer og konstruktioner'!O15</f>
        <v>0</v>
      </c>
      <c r="Q236" s="37">
        <f>'12 Broer og konstruktioner'!P15</f>
        <v>0</v>
      </c>
      <c r="R236" s="37">
        <f>'12 Broer og konstruktioner'!Q15</f>
        <v>0</v>
      </c>
      <c r="S236" s="37">
        <f>'12 Broer og konstruktioner'!R15</f>
        <v>7</v>
      </c>
      <c r="T236" s="39">
        <f>'12 Broer og konstruktioner'!S15</f>
        <v>43403</v>
      </c>
      <c r="U236" s="40">
        <f>'12 Broer og konstruktioner'!T15</f>
        <v>303821</v>
      </c>
      <c r="V236" s="37" t="s">
        <v>98</v>
      </c>
      <c r="W236" s="37" t="s">
        <v>822</v>
      </c>
      <c r="X236" s="37" t="s">
        <v>98</v>
      </c>
    </row>
    <row r="237" spans="1:24" s="37" customFormat="1" x14ac:dyDescent="0.25">
      <c r="A237" s="37">
        <v>6</v>
      </c>
      <c r="B237" s="37" t="s">
        <v>546</v>
      </c>
      <c r="C237" s="37" t="s">
        <v>547</v>
      </c>
      <c r="D237" s="38" t="str">
        <f>'12 Broer og konstruktioner'!C16</f>
        <v>M</v>
      </c>
      <c r="E237" s="37">
        <f>'12 Broer og konstruktioner'!D16</f>
        <v>0</v>
      </c>
      <c r="F237" s="37">
        <f>'12 Broer og konstruktioner'!E16</f>
        <v>13</v>
      </c>
      <c r="G237" s="37">
        <f>'12 Broer og konstruktioner'!F16</f>
        <v>0</v>
      </c>
      <c r="H237" s="37">
        <f>'12 Broer og konstruktioner'!G16</f>
        <v>0</v>
      </c>
      <c r="I237" s="37">
        <f>'12 Broer og konstruktioner'!H16</f>
        <v>0</v>
      </c>
      <c r="J237" s="37">
        <f>'12 Broer og konstruktioner'!I16</f>
        <v>0</v>
      </c>
      <c r="K237" s="37">
        <f>'12 Broer og konstruktioner'!J16</f>
        <v>0</v>
      </c>
      <c r="L237" s="37">
        <f>'12 Broer og konstruktioner'!K16</f>
        <v>0</v>
      </c>
      <c r="M237" s="37">
        <f>'12 Broer og konstruktioner'!L16</f>
        <v>0</v>
      </c>
      <c r="N237" s="37">
        <f>'12 Broer og konstruktioner'!M16</f>
        <v>0</v>
      </c>
      <c r="O237" s="37">
        <f>'12 Broer og konstruktioner'!N16</f>
        <v>0</v>
      </c>
      <c r="P237" s="37">
        <f>'12 Broer og konstruktioner'!O16</f>
        <v>0</v>
      </c>
      <c r="Q237" s="37">
        <f>'12 Broer og konstruktioner'!P16</f>
        <v>0</v>
      </c>
      <c r="R237" s="37">
        <f>'12 Broer og konstruktioner'!Q16</f>
        <v>0</v>
      </c>
      <c r="S237" s="37">
        <f>'12 Broer og konstruktioner'!R16</f>
        <v>13</v>
      </c>
      <c r="T237" s="39">
        <f>'12 Broer og konstruktioner'!S16</f>
        <v>7180</v>
      </c>
      <c r="U237" s="40">
        <f>'12 Broer og konstruktioner'!T16</f>
        <v>93340</v>
      </c>
      <c r="V237" s="37" t="s">
        <v>98</v>
      </c>
      <c r="W237" s="37" t="s">
        <v>822</v>
      </c>
      <c r="X237" s="37" t="s">
        <v>98</v>
      </c>
    </row>
    <row r="238" spans="1:24" s="37" customFormat="1" x14ac:dyDescent="0.25">
      <c r="A238" s="37">
        <v>6</v>
      </c>
      <c r="B238" s="37" t="s">
        <v>548</v>
      </c>
      <c r="C238" s="37" t="s">
        <v>549</v>
      </c>
      <c r="D238" s="38" t="str">
        <f>'12 Broer og konstruktioner'!C17</f>
        <v>M</v>
      </c>
      <c r="E238" s="37">
        <f>'12 Broer og konstruktioner'!D17</f>
        <v>0</v>
      </c>
      <c r="F238" s="37">
        <f>'12 Broer og konstruktioner'!E17</f>
        <v>21</v>
      </c>
      <c r="G238" s="37">
        <f>'12 Broer og konstruktioner'!F17</f>
        <v>0</v>
      </c>
      <c r="H238" s="37">
        <f>'12 Broer og konstruktioner'!G17</f>
        <v>0</v>
      </c>
      <c r="I238" s="37">
        <f>'12 Broer og konstruktioner'!H17</f>
        <v>0</v>
      </c>
      <c r="J238" s="37">
        <f>'12 Broer og konstruktioner'!I17</f>
        <v>0</v>
      </c>
      <c r="K238" s="37">
        <f>'12 Broer og konstruktioner'!J17</f>
        <v>0</v>
      </c>
      <c r="L238" s="37">
        <f>'12 Broer og konstruktioner'!K17</f>
        <v>0</v>
      </c>
      <c r="M238" s="37">
        <f>'12 Broer og konstruktioner'!L17</f>
        <v>0</v>
      </c>
      <c r="N238" s="37">
        <f>'12 Broer og konstruktioner'!M17</f>
        <v>0</v>
      </c>
      <c r="O238" s="37">
        <f>'12 Broer og konstruktioner'!N17</f>
        <v>0</v>
      </c>
      <c r="P238" s="37">
        <f>'12 Broer og konstruktioner'!O17</f>
        <v>0</v>
      </c>
      <c r="Q238" s="37">
        <f>'12 Broer og konstruktioner'!P17</f>
        <v>0</v>
      </c>
      <c r="R238" s="37">
        <f>'12 Broer og konstruktioner'!Q17</f>
        <v>0</v>
      </c>
      <c r="S238" s="37">
        <f>'12 Broer og konstruktioner'!R17</f>
        <v>21</v>
      </c>
      <c r="T238" s="39">
        <f>'12 Broer og konstruktioner'!S17</f>
        <v>2026</v>
      </c>
      <c r="U238" s="40">
        <f>'12 Broer og konstruktioner'!T17</f>
        <v>42546</v>
      </c>
      <c r="V238" s="37" t="s">
        <v>98</v>
      </c>
      <c r="W238" s="37" t="s">
        <v>822</v>
      </c>
      <c r="X238" s="37" t="s">
        <v>98</v>
      </c>
    </row>
    <row r="239" spans="1:24" s="37" customFormat="1" x14ac:dyDescent="0.25">
      <c r="A239" s="37">
        <v>5</v>
      </c>
      <c r="B239" s="37" t="s">
        <v>550</v>
      </c>
      <c r="C239" s="37" t="s">
        <v>551</v>
      </c>
      <c r="D239" s="38" t="str">
        <f>'12 Broer og konstruktioner'!C18</f>
        <v>M</v>
      </c>
      <c r="E239" s="37">
        <f>'12 Broer og konstruktioner'!D18</f>
        <v>0</v>
      </c>
      <c r="F239" s="37">
        <f>'12 Broer og konstruktioner'!E18</f>
        <v>0</v>
      </c>
      <c r="G239" s="37">
        <f>'12 Broer og konstruktioner'!F18</f>
        <v>0</v>
      </c>
      <c r="H239" s="37">
        <f>'12 Broer og konstruktioner'!G18</f>
        <v>50</v>
      </c>
      <c r="I239" s="37">
        <f>'12 Broer og konstruktioner'!H18</f>
        <v>0</v>
      </c>
      <c r="J239" s="37">
        <f>'12 Broer og konstruktioner'!I18</f>
        <v>0</v>
      </c>
      <c r="K239" s="37">
        <f>'12 Broer og konstruktioner'!J18</f>
        <v>0</v>
      </c>
      <c r="L239" s="37">
        <f>'12 Broer og konstruktioner'!K18</f>
        <v>0</v>
      </c>
      <c r="M239" s="37">
        <f>'12 Broer og konstruktioner'!L18</f>
        <v>0</v>
      </c>
      <c r="N239" s="37">
        <f>'12 Broer og konstruktioner'!M18</f>
        <v>0</v>
      </c>
      <c r="O239" s="37">
        <f>'12 Broer og konstruktioner'!N18</f>
        <v>0</v>
      </c>
      <c r="P239" s="37">
        <f>'12 Broer og konstruktioner'!O18</f>
        <v>0</v>
      </c>
      <c r="Q239" s="37">
        <f>'12 Broer og konstruktioner'!P18</f>
        <v>0</v>
      </c>
      <c r="R239" s="37">
        <f>'12 Broer og konstruktioner'!Q18</f>
        <v>0</v>
      </c>
      <c r="S239" s="37">
        <f>'12 Broer og konstruktioner'!R18</f>
        <v>50</v>
      </c>
      <c r="T239" s="39">
        <f>'12 Broer og konstruktioner'!S18</f>
        <v>2647</v>
      </c>
      <c r="U239" s="40">
        <f>'12 Broer og konstruktioner'!T18</f>
        <v>132350</v>
      </c>
      <c r="V239" s="37" t="s">
        <v>98</v>
      </c>
      <c r="W239" s="37" t="s">
        <v>98</v>
      </c>
      <c r="X239" s="37" t="s">
        <v>98</v>
      </c>
    </row>
    <row r="240" spans="1:24" s="37" customFormat="1" x14ac:dyDescent="0.25">
      <c r="A240" s="37">
        <v>5</v>
      </c>
      <c r="B240" s="37" t="s">
        <v>552</v>
      </c>
      <c r="C240" s="37" t="s">
        <v>553</v>
      </c>
      <c r="D240" s="38" t="str">
        <f>'12 Broer og konstruktioner'!C19</f>
        <v>STK</v>
      </c>
      <c r="E240" s="37">
        <f>'12 Broer og konstruktioner'!D19</f>
        <v>0</v>
      </c>
      <c r="F240" s="37">
        <f>'12 Broer og konstruktioner'!E19</f>
        <v>6</v>
      </c>
      <c r="G240" s="37">
        <f>'12 Broer og konstruktioner'!F19</f>
        <v>0</v>
      </c>
      <c r="H240" s="37">
        <f>'12 Broer og konstruktioner'!G19</f>
        <v>9</v>
      </c>
      <c r="I240" s="37">
        <f>'12 Broer og konstruktioner'!H19</f>
        <v>0</v>
      </c>
      <c r="J240" s="37">
        <f>'12 Broer og konstruktioner'!I19</f>
        <v>0</v>
      </c>
      <c r="K240" s="37">
        <f>'12 Broer og konstruktioner'!J19</f>
        <v>0</v>
      </c>
      <c r="L240" s="37">
        <f>'12 Broer og konstruktioner'!K19</f>
        <v>0</v>
      </c>
      <c r="M240" s="37">
        <f>'12 Broer og konstruktioner'!L19</f>
        <v>0</v>
      </c>
      <c r="N240" s="37">
        <f>'12 Broer og konstruktioner'!M19</f>
        <v>0</v>
      </c>
      <c r="O240" s="37">
        <f>'12 Broer og konstruktioner'!N19</f>
        <v>0</v>
      </c>
      <c r="P240" s="37">
        <f>'12 Broer og konstruktioner'!O19</f>
        <v>0</v>
      </c>
      <c r="Q240" s="37">
        <f>'12 Broer og konstruktioner'!P19</f>
        <v>0</v>
      </c>
      <c r="R240" s="37">
        <f>'12 Broer og konstruktioner'!Q19</f>
        <v>0</v>
      </c>
      <c r="S240" s="37">
        <f>'12 Broer og konstruktioner'!R19</f>
        <v>15</v>
      </c>
      <c r="T240" s="39">
        <f>'12 Broer og konstruktioner'!S19</f>
        <v>5463</v>
      </c>
      <c r="U240" s="40">
        <f>'12 Broer og konstruktioner'!T19</f>
        <v>81945</v>
      </c>
      <c r="V240" s="37" t="s">
        <v>98</v>
      </c>
      <c r="W240" s="37" t="s">
        <v>98</v>
      </c>
      <c r="X240" s="37" t="s">
        <v>98</v>
      </c>
    </row>
    <row r="241" spans="1:24" s="36" customFormat="1" x14ac:dyDescent="0.25">
      <c r="A241" s="28">
        <v>4</v>
      </c>
      <c r="B241" s="28" t="s">
        <v>554</v>
      </c>
      <c r="C241" s="28" t="s">
        <v>356</v>
      </c>
      <c r="D241" s="50" t="str">
        <f>'12 Broer og konstruktioner'!C20</f>
        <v/>
      </c>
      <c r="E241" s="28">
        <f>'12 Broer og konstruktioner'!D20</f>
        <v>0</v>
      </c>
      <c r="F241" s="28">
        <f>'12 Broer og konstruktioner'!E20</f>
        <v>0</v>
      </c>
      <c r="G241" s="28">
        <f>'12 Broer og konstruktioner'!F20</f>
        <v>0</v>
      </c>
      <c r="H241" s="28">
        <f>'12 Broer og konstruktioner'!G20</f>
        <v>0</v>
      </c>
      <c r="I241" s="28">
        <f>'12 Broer og konstruktioner'!H20</f>
        <v>0</v>
      </c>
      <c r="J241" s="28">
        <f>'12 Broer og konstruktioner'!I20</f>
        <v>0</v>
      </c>
      <c r="K241" s="28">
        <f>'12 Broer og konstruktioner'!J20</f>
        <v>0</v>
      </c>
      <c r="L241" s="28">
        <f>'12 Broer og konstruktioner'!K20</f>
        <v>0</v>
      </c>
      <c r="M241" s="28">
        <f>'12 Broer og konstruktioner'!L20</f>
        <v>0</v>
      </c>
      <c r="N241" s="28">
        <f>'12 Broer og konstruktioner'!M20</f>
        <v>0</v>
      </c>
      <c r="O241" s="28">
        <f>'12 Broer og konstruktioner'!N20</f>
        <v>0</v>
      </c>
      <c r="P241" s="28">
        <f>'12 Broer og konstruktioner'!O20</f>
        <v>0</v>
      </c>
      <c r="Q241" s="28">
        <f>'12 Broer og konstruktioner'!P20</f>
        <v>0</v>
      </c>
      <c r="R241" s="28">
        <f>'12 Broer og konstruktioner'!Q20</f>
        <v>0</v>
      </c>
      <c r="S241" s="28">
        <f>'12 Broer og konstruktioner'!R20</f>
        <v>0</v>
      </c>
      <c r="T241" s="51">
        <f>'12 Broer og konstruktioner'!S20</f>
        <v>0</v>
      </c>
      <c r="U241" s="52">
        <f>'12 Broer og konstruktioner'!T20</f>
        <v>0</v>
      </c>
      <c r="V241" s="28" t="s">
        <v>98</v>
      </c>
      <c r="W241" s="28" t="s">
        <v>98</v>
      </c>
      <c r="X241" s="28" t="s">
        <v>98</v>
      </c>
    </row>
    <row r="242" spans="1:24" s="37" customFormat="1" x14ac:dyDescent="0.25">
      <c r="A242" s="37">
        <v>5</v>
      </c>
      <c r="B242" s="37" t="s">
        <v>555</v>
      </c>
      <c r="C242" s="37" t="s">
        <v>556</v>
      </c>
      <c r="D242" s="38" t="str">
        <f>'12 Broer og konstruktioner'!C21</f>
        <v>SUM</v>
      </c>
      <c r="E242" s="37">
        <f>'12 Broer og konstruktioner'!D21</f>
        <v>0</v>
      </c>
      <c r="F242" s="37">
        <f>'12 Broer og konstruktioner'!E21</f>
        <v>1</v>
      </c>
      <c r="G242" s="37">
        <f>'12 Broer og konstruktioner'!F21</f>
        <v>0</v>
      </c>
      <c r="H242" s="37">
        <f>'12 Broer og konstruktioner'!G21</f>
        <v>1</v>
      </c>
      <c r="I242" s="37">
        <f>'12 Broer og konstruktioner'!H21</f>
        <v>0</v>
      </c>
      <c r="J242" s="37">
        <f>'12 Broer og konstruktioner'!I21</f>
        <v>0</v>
      </c>
      <c r="K242" s="37">
        <f>'12 Broer og konstruktioner'!J21</f>
        <v>0</v>
      </c>
      <c r="L242" s="37">
        <f>'12 Broer og konstruktioner'!K21</f>
        <v>0</v>
      </c>
      <c r="M242" s="37">
        <f>'12 Broer og konstruktioner'!L21</f>
        <v>0</v>
      </c>
      <c r="N242" s="37">
        <f>'12 Broer og konstruktioner'!M21</f>
        <v>0</v>
      </c>
      <c r="O242" s="37">
        <f>'12 Broer og konstruktioner'!N21</f>
        <v>0</v>
      </c>
      <c r="P242" s="37">
        <f>'12 Broer og konstruktioner'!O21</f>
        <v>0</v>
      </c>
      <c r="Q242" s="37">
        <f>'12 Broer og konstruktioner'!P21</f>
        <v>0</v>
      </c>
      <c r="R242" s="37">
        <f>'12 Broer og konstruktioner'!Q21</f>
        <v>0</v>
      </c>
      <c r="S242" s="37">
        <f>'12 Broer og konstruktioner'!R21</f>
        <v>2</v>
      </c>
      <c r="T242" s="39">
        <f>'12 Broer og konstruktioner'!S21</f>
        <v>21255</v>
      </c>
      <c r="U242" s="40">
        <f>'12 Broer og konstruktioner'!T21</f>
        <v>42510</v>
      </c>
      <c r="V242" s="37" t="s">
        <v>98</v>
      </c>
      <c r="W242" s="37" t="s">
        <v>822</v>
      </c>
      <c r="X242" s="37" t="s">
        <v>98</v>
      </c>
    </row>
    <row r="243" spans="1:24" s="36" customFormat="1" x14ac:dyDescent="0.25">
      <c r="A243" s="28">
        <v>4</v>
      </c>
      <c r="B243" s="28" t="s">
        <v>557</v>
      </c>
      <c r="C243" s="28" t="s">
        <v>558</v>
      </c>
      <c r="D243" s="50" t="str">
        <f>'12 Broer og konstruktioner'!C22</f>
        <v/>
      </c>
      <c r="E243" s="28">
        <f>'12 Broer og konstruktioner'!D22</f>
        <v>0</v>
      </c>
      <c r="F243" s="28">
        <f>'12 Broer og konstruktioner'!E22</f>
        <v>0</v>
      </c>
      <c r="G243" s="28">
        <f>'12 Broer og konstruktioner'!F22</f>
        <v>0</v>
      </c>
      <c r="H243" s="28">
        <f>'12 Broer og konstruktioner'!G22</f>
        <v>0</v>
      </c>
      <c r="I243" s="28">
        <f>'12 Broer og konstruktioner'!H22</f>
        <v>0</v>
      </c>
      <c r="J243" s="28">
        <f>'12 Broer og konstruktioner'!I22</f>
        <v>0</v>
      </c>
      <c r="K243" s="28">
        <f>'12 Broer og konstruktioner'!J22</f>
        <v>0</v>
      </c>
      <c r="L243" s="28">
        <f>'12 Broer og konstruktioner'!K22</f>
        <v>0</v>
      </c>
      <c r="M243" s="28">
        <f>'12 Broer og konstruktioner'!L22</f>
        <v>0</v>
      </c>
      <c r="N243" s="28">
        <f>'12 Broer og konstruktioner'!M22</f>
        <v>0</v>
      </c>
      <c r="O243" s="28">
        <f>'12 Broer og konstruktioner'!N22</f>
        <v>0</v>
      </c>
      <c r="P243" s="28">
        <f>'12 Broer og konstruktioner'!O22</f>
        <v>0</v>
      </c>
      <c r="Q243" s="28">
        <f>'12 Broer og konstruktioner'!P22</f>
        <v>0</v>
      </c>
      <c r="R243" s="28">
        <f>'12 Broer og konstruktioner'!Q22</f>
        <v>0</v>
      </c>
      <c r="S243" s="28">
        <f>'12 Broer og konstruktioner'!R22</f>
        <v>0</v>
      </c>
      <c r="T243" s="51">
        <f>'12 Broer og konstruktioner'!S22</f>
        <v>0</v>
      </c>
      <c r="U243" s="52">
        <f>'12 Broer og konstruktioner'!T22</f>
        <v>0</v>
      </c>
      <c r="V243" s="28" t="s">
        <v>98</v>
      </c>
      <c r="W243" s="28" t="s">
        <v>98</v>
      </c>
      <c r="X243" s="28" t="s">
        <v>98</v>
      </c>
    </row>
    <row r="244" spans="1:24" s="37" customFormat="1" x14ac:dyDescent="0.25">
      <c r="A244" s="37">
        <v>5</v>
      </c>
      <c r="B244" s="37" t="s">
        <v>559</v>
      </c>
      <c r="C244" s="37" t="s">
        <v>560</v>
      </c>
      <c r="D244" s="38" t="str">
        <f>'12 Broer og konstruktioner'!C23</f>
        <v>M</v>
      </c>
      <c r="E244" s="37">
        <f>'12 Broer og konstruktioner'!D23</f>
        <v>0</v>
      </c>
      <c r="F244" s="37">
        <f>'12 Broer og konstruktioner'!E23</f>
        <v>16</v>
      </c>
      <c r="G244" s="37">
        <f>'12 Broer og konstruktioner'!F23</f>
        <v>0</v>
      </c>
      <c r="H244" s="37">
        <f>'12 Broer og konstruktioner'!G23</f>
        <v>0</v>
      </c>
      <c r="I244" s="37">
        <f>'12 Broer og konstruktioner'!H23</f>
        <v>0</v>
      </c>
      <c r="J244" s="37">
        <f>'12 Broer og konstruktioner'!I23</f>
        <v>0</v>
      </c>
      <c r="K244" s="37">
        <f>'12 Broer og konstruktioner'!J23</f>
        <v>0</v>
      </c>
      <c r="L244" s="37">
        <f>'12 Broer og konstruktioner'!K23</f>
        <v>0</v>
      </c>
      <c r="M244" s="37">
        <f>'12 Broer og konstruktioner'!L23</f>
        <v>0</v>
      </c>
      <c r="N244" s="37">
        <f>'12 Broer og konstruktioner'!M23</f>
        <v>0</v>
      </c>
      <c r="O244" s="37">
        <f>'12 Broer og konstruktioner'!N23</f>
        <v>0</v>
      </c>
      <c r="P244" s="37">
        <f>'12 Broer og konstruktioner'!O23</f>
        <v>0</v>
      </c>
      <c r="Q244" s="37">
        <f>'12 Broer og konstruktioner'!P23</f>
        <v>0</v>
      </c>
      <c r="R244" s="37">
        <f>'12 Broer og konstruktioner'!Q23</f>
        <v>0</v>
      </c>
      <c r="S244" s="37">
        <f>'12 Broer og konstruktioner'!R23</f>
        <v>16</v>
      </c>
      <c r="T244" s="39">
        <f>'12 Broer og konstruktioner'!S23</f>
        <v>3456</v>
      </c>
      <c r="U244" s="40">
        <f>'12 Broer og konstruktioner'!T23</f>
        <v>55296</v>
      </c>
      <c r="V244" s="37" t="s">
        <v>98</v>
      </c>
      <c r="W244" s="37" t="s">
        <v>98</v>
      </c>
      <c r="X244" s="37" t="s">
        <v>98</v>
      </c>
    </row>
    <row r="245" spans="1:24" s="37" customFormat="1" x14ac:dyDescent="0.25">
      <c r="A245" s="37">
        <v>5</v>
      </c>
      <c r="B245" s="37" t="s">
        <v>561</v>
      </c>
      <c r="C245" s="37" t="s">
        <v>562</v>
      </c>
      <c r="D245" s="38" t="str">
        <f>'12 Broer og konstruktioner'!C24</f>
        <v>STK</v>
      </c>
      <c r="E245" s="37">
        <f>'12 Broer og konstruktioner'!D24</f>
        <v>0</v>
      </c>
      <c r="F245" s="37">
        <f>'12 Broer og konstruktioner'!E24</f>
        <v>8</v>
      </c>
      <c r="G245" s="37">
        <f>'12 Broer og konstruktioner'!F24</f>
        <v>0</v>
      </c>
      <c r="H245" s="37">
        <f>'12 Broer og konstruktioner'!G24</f>
        <v>16</v>
      </c>
      <c r="I245" s="37">
        <f>'12 Broer og konstruktioner'!H24</f>
        <v>0</v>
      </c>
      <c r="J245" s="37">
        <f>'12 Broer og konstruktioner'!I24</f>
        <v>0</v>
      </c>
      <c r="K245" s="37">
        <f>'12 Broer og konstruktioner'!J24</f>
        <v>0</v>
      </c>
      <c r="L245" s="37">
        <f>'12 Broer og konstruktioner'!K24</f>
        <v>0</v>
      </c>
      <c r="M245" s="37">
        <f>'12 Broer og konstruktioner'!L24</f>
        <v>0</v>
      </c>
      <c r="N245" s="37">
        <f>'12 Broer og konstruktioner'!M24</f>
        <v>0</v>
      </c>
      <c r="O245" s="37">
        <f>'12 Broer og konstruktioner'!N24</f>
        <v>0</v>
      </c>
      <c r="P245" s="37">
        <f>'12 Broer og konstruktioner'!O24</f>
        <v>0</v>
      </c>
      <c r="Q245" s="37">
        <f>'12 Broer og konstruktioner'!P24</f>
        <v>0</v>
      </c>
      <c r="R245" s="37">
        <f>'12 Broer og konstruktioner'!Q24</f>
        <v>0</v>
      </c>
      <c r="S245" s="37">
        <f>'12 Broer og konstruktioner'!R24</f>
        <v>24</v>
      </c>
      <c r="T245" s="39">
        <f>'12 Broer og konstruktioner'!S24</f>
        <v>7398</v>
      </c>
      <c r="U245" s="40">
        <f>'12 Broer og konstruktioner'!T24</f>
        <v>177552</v>
      </c>
      <c r="V245" s="37" t="s">
        <v>98</v>
      </c>
      <c r="W245" s="37" t="s">
        <v>98</v>
      </c>
      <c r="X245" s="37" t="s">
        <v>98</v>
      </c>
    </row>
    <row r="246" spans="1:24" s="32" customFormat="1" ht="15.75" x14ac:dyDescent="0.25">
      <c r="A246" s="32">
        <v>3</v>
      </c>
      <c r="B246" s="32" t="s">
        <v>48</v>
      </c>
      <c r="C246" s="32" t="s">
        <v>49</v>
      </c>
      <c r="D246" s="33" t="str">
        <f>'14 Håndtering og bortskaffelse'!C2</f>
        <v/>
      </c>
      <c r="E246" s="32">
        <f>'14 Håndtering og bortskaffelse'!D2</f>
        <v>0</v>
      </c>
      <c r="F246" s="32">
        <f>'14 Håndtering og bortskaffelse'!E2</f>
        <v>0</v>
      </c>
      <c r="G246" s="32">
        <f>'14 Håndtering og bortskaffelse'!F2</f>
        <v>0</v>
      </c>
      <c r="H246" s="32">
        <f>'14 Håndtering og bortskaffelse'!G2</f>
        <v>0</v>
      </c>
      <c r="I246" s="32">
        <f>'14 Håndtering og bortskaffelse'!H2</f>
        <v>0</v>
      </c>
      <c r="J246" s="32">
        <f>'14 Håndtering og bortskaffelse'!I2</f>
        <v>0</v>
      </c>
      <c r="K246" s="32">
        <f>'14 Håndtering og bortskaffelse'!J2</f>
        <v>0</v>
      </c>
      <c r="L246" s="32">
        <f>'14 Håndtering og bortskaffelse'!K2</f>
        <v>0</v>
      </c>
      <c r="M246" s="32">
        <f>'14 Håndtering og bortskaffelse'!L2</f>
        <v>0</v>
      </c>
      <c r="N246" s="32">
        <f>'14 Håndtering og bortskaffelse'!M2</f>
        <v>0</v>
      </c>
      <c r="O246" s="32">
        <f>'14 Håndtering og bortskaffelse'!N2</f>
        <v>0</v>
      </c>
      <c r="P246" s="32">
        <f>'14 Håndtering og bortskaffelse'!O2</f>
        <v>0</v>
      </c>
      <c r="Q246" s="32">
        <f>'14 Håndtering og bortskaffelse'!P2</f>
        <v>0</v>
      </c>
      <c r="R246" s="32">
        <f>'14 Håndtering og bortskaffelse'!Q2</f>
        <v>0</v>
      </c>
      <c r="S246" s="32">
        <f>'14 Håndtering og bortskaffelse'!R2</f>
        <v>0</v>
      </c>
      <c r="T246" s="34">
        <f>'14 Håndtering og bortskaffelse'!S2</f>
        <v>0</v>
      </c>
      <c r="U246" s="35">
        <f>'14 Håndtering og bortskaffelse'!T2</f>
        <v>0</v>
      </c>
      <c r="V246" s="32" t="s">
        <v>98</v>
      </c>
      <c r="W246" s="32" t="s">
        <v>98</v>
      </c>
      <c r="X246" s="32" t="s">
        <v>98</v>
      </c>
    </row>
    <row r="247" spans="1:24" s="36" customFormat="1" x14ac:dyDescent="0.25">
      <c r="A247" s="28">
        <v>4</v>
      </c>
      <c r="B247" s="28" t="s">
        <v>563</v>
      </c>
      <c r="C247" s="28" t="s">
        <v>564</v>
      </c>
      <c r="D247" s="50" t="str">
        <f>'14 Håndtering og bortskaffelse'!C3</f>
        <v/>
      </c>
      <c r="E247" s="28">
        <f>'14 Håndtering og bortskaffelse'!D3</f>
        <v>0</v>
      </c>
      <c r="F247" s="28">
        <f>'14 Håndtering og bortskaffelse'!E3</f>
        <v>0</v>
      </c>
      <c r="G247" s="28">
        <f>'14 Håndtering og bortskaffelse'!F3</f>
        <v>0</v>
      </c>
      <c r="H247" s="28">
        <f>'14 Håndtering og bortskaffelse'!G3</f>
        <v>0</v>
      </c>
      <c r="I247" s="28">
        <f>'14 Håndtering og bortskaffelse'!H3</f>
        <v>0</v>
      </c>
      <c r="J247" s="28">
        <f>'14 Håndtering og bortskaffelse'!I3</f>
        <v>0</v>
      </c>
      <c r="K247" s="28">
        <f>'14 Håndtering og bortskaffelse'!J3</f>
        <v>0</v>
      </c>
      <c r="L247" s="28">
        <f>'14 Håndtering og bortskaffelse'!K3</f>
        <v>0</v>
      </c>
      <c r="M247" s="28">
        <f>'14 Håndtering og bortskaffelse'!L3</f>
        <v>0</v>
      </c>
      <c r="N247" s="28">
        <f>'14 Håndtering og bortskaffelse'!M3</f>
        <v>0</v>
      </c>
      <c r="O247" s="28">
        <f>'14 Håndtering og bortskaffelse'!N3</f>
        <v>0</v>
      </c>
      <c r="P247" s="28">
        <f>'14 Håndtering og bortskaffelse'!O3</f>
        <v>0</v>
      </c>
      <c r="Q247" s="28">
        <f>'14 Håndtering og bortskaffelse'!P3</f>
        <v>0</v>
      </c>
      <c r="R247" s="28">
        <f>'14 Håndtering og bortskaffelse'!Q3</f>
        <v>0</v>
      </c>
      <c r="S247" s="28">
        <f>'14 Håndtering og bortskaffelse'!R3</f>
        <v>0</v>
      </c>
      <c r="T247" s="51">
        <f>'14 Håndtering og bortskaffelse'!S3</f>
        <v>0</v>
      </c>
      <c r="U247" s="52">
        <f>'14 Håndtering og bortskaffelse'!T3</f>
        <v>0</v>
      </c>
      <c r="V247" s="28" t="s">
        <v>98</v>
      </c>
      <c r="W247" s="28" t="s">
        <v>98</v>
      </c>
      <c r="X247" s="28" t="s">
        <v>98</v>
      </c>
    </row>
    <row r="248" spans="1:24" s="37" customFormat="1" x14ac:dyDescent="0.25">
      <c r="A248" s="37">
        <v>5</v>
      </c>
      <c r="B248" s="37" t="s">
        <v>565</v>
      </c>
      <c r="C248" s="37" t="s">
        <v>566</v>
      </c>
      <c r="D248" s="38" t="str">
        <f>'14 Håndtering og bortskaffelse'!C4</f>
        <v/>
      </c>
      <c r="E248" s="37">
        <f>'14 Håndtering og bortskaffelse'!D4</f>
        <v>0</v>
      </c>
      <c r="F248" s="37">
        <f>'14 Håndtering og bortskaffelse'!E4</f>
        <v>0</v>
      </c>
      <c r="G248" s="37">
        <f>'14 Håndtering og bortskaffelse'!F4</f>
        <v>0</v>
      </c>
      <c r="H248" s="37">
        <f>'14 Håndtering og bortskaffelse'!G4</f>
        <v>0</v>
      </c>
      <c r="I248" s="37">
        <f>'14 Håndtering og bortskaffelse'!H4</f>
        <v>0</v>
      </c>
      <c r="J248" s="37">
        <f>'14 Håndtering og bortskaffelse'!I4</f>
        <v>0</v>
      </c>
      <c r="K248" s="37">
        <f>'14 Håndtering og bortskaffelse'!J4</f>
        <v>0</v>
      </c>
      <c r="L248" s="37">
        <f>'14 Håndtering og bortskaffelse'!K4</f>
        <v>0</v>
      </c>
      <c r="M248" s="37">
        <f>'14 Håndtering og bortskaffelse'!L4</f>
        <v>0</v>
      </c>
      <c r="N248" s="37">
        <f>'14 Håndtering og bortskaffelse'!M4</f>
        <v>0</v>
      </c>
      <c r="O248" s="37">
        <f>'14 Håndtering og bortskaffelse'!N4</f>
        <v>0</v>
      </c>
      <c r="P248" s="37">
        <f>'14 Håndtering og bortskaffelse'!O4</f>
        <v>0</v>
      </c>
      <c r="Q248" s="37">
        <f>'14 Håndtering og bortskaffelse'!P4</f>
        <v>0</v>
      </c>
      <c r="R248" s="37">
        <f>'14 Håndtering og bortskaffelse'!Q4</f>
        <v>0</v>
      </c>
      <c r="S248" s="37">
        <f>'14 Håndtering og bortskaffelse'!R4</f>
        <v>0</v>
      </c>
      <c r="T248" s="39">
        <f>'14 Håndtering og bortskaffelse'!S4</f>
        <v>0</v>
      </c>
      <c r="U248" s="40">
        <f>'14 Håndtering og bortskaffelse'!T4</f>
        <v>0</v>
      </c>
      <c r="V248" s="37" t="s">
        <v>98</v>
      </c>
      <c r="W248" s="37" t="s">
        <v>98</v>
      </c>
      <c r="X248" s="37" t="s">
        <v>98</v>
      </c>
    </row>
    <row r="249" spans="1:24" s="37" customFormat="1" x14ac:dyDescent="0.25">
      <c r="A249" s="37">
        <v>6</v>
      </c>
      <c r="B249" s="37" t="s">
        <v>567</v>
      </c>
      <c r="C249" s="37" t="s">
        <v>568</v>
      </c>
      <c r="D249" s="38" t="str">
        <f>'14 Håndtering og bortskaffelse'!C5</f>
        <v>M3</v>
      </c>
      <c r="E249" s="37">
        <f>'14 Håndtering og bortskaffelse'!D5</f>
        <v>5</v>
      </c>
      <c r="F249" s="37">
        <f>'14 Håndtering og bortskaffelse'!E5</f>
        <v>42</v>
      </c>
      <c r="G249" s="37">
        <f>'14 Håndtering og bortskaffelse'!F5</f>
        <v>0</v>
      </c>
      <c r="H249" s="37">
        <f>'14 Håndtering og bortskaffelse'!G5</f>
        <v>0</v>
      </c>
      <c r="I249" s="37">
        <f>'14 Håndtering og bortskaffelse'!H5</f>
        <v>0</v>
      </c>
      <c r="J249" s="37">
        <f>'14 Håndtering og bortskaffelse'!I5</f>
        <v>1562</v>
      </c>
      <c r="K249" s="37">
        <f>'14 Håndtering og bortskaffelse'!J5</f>
        <v>0</v>
      </c>
      <c r="L249" s="37">
        <f>'14 Håndtering og bortskaffelse'!K5</f>
        <v>0</v>
      </c>
      <c r="M249" s="37">
        <f>'14 Håndtering og bortskaffelse'!L5</f>
        <v>0</v>
      </c>
      <c r="N249" s="37">
        <f>'14 Håndtering og bortskaffelse'!M5</f>
        <v>0</v>
      </c>
      <c r="O249" s="37">
        <f>'14 Håndtering og bortskaffelse'!N5</f>
        <v>0</v>
      </c>
      <c r="P249" s="37">
        <f>'14 Håndtering og bortskaffelse'!O5</f>
        <v>0</v>
      </c>
      <c r="Q249" s="37">
        <f>'14 Håndtering og bortskaffelse'!P5</f>
        <v>0</v>
      </c>
      <c r="R249" s="37">
        <f>'14 Håndtering og bortskaffelse'!Q5</f>
        <v>0</v>
      </c>
      <c r="S249" s="37">
        <f>'14 Håndtering og bortskaffelse'!R5</f>
        <v>1609</v>
      </c>
      <c r="T249" s="39">
        <f>'14 Håndtering og bortskaffelse'!S5</f>
        <v>80</v>
      </c>
      <c r="U249" s="40">
        <f>'14 Håndtering og bortskaffelse'!T5</f>
        <v>128720</v>
      </c>
      <c r="V249" s="37" t="s">
        <v>98</v>
      </c>
      <c r="W249" s="37" t="s">
        <v>822</v>
      </c>
      <c r="X249" s="37" t="s">
        <v>98</v>
      </c>
    </row>
    <row r="250" spans="1:24" s="37" customFormat="1" x14ac:dyDescent="0.25">
      <c r="A250" s="37">
        <v>6</v>
      </c>
      <c r="B250" s="37" t="s">
        <v>827</v>
      </c>
      <c r="C250" s="37" t="s">
        <v>787</v>
      </c>
      <c r="D250" s="38" t="e">
        <f>'14 Håndtering og bortskaffelse'!#REF!</f>
        <v>#REF!</v>
      </c>
      <c r="E250" s="37" t="e">
        <f>'14 Håndtering og bortskaffelse'!#REF!</f>
        <v>#REF!</v>
      </c>
      <c r="F250" s="37" t="e">
        <f>'14 Håndtering og bortskaffelse'!#REF!</f>
        <v>#REF!</v>
      </c>
      <c r="G250" s="37" t="e">
        <f>'14 Håndtering og bortskaffelse'!#REF!</f>
        <v>#REF!</v>
      </c>
      <c r="H250" s="37" t="e">
        <f>'14 Håndtering og bortskaffelse'!#REF!</f>
        <v>#REF!</v>
      </c>
      <c r="I250" s="37" t="e">
        <f>'14 Håndtering og bortskaffelse'!#REF!</f>
        <v>#REF!</v>
      </c>
      <c r="J250" s="37" t="e">
        <f>'14 Håndtering og bortskaffelse'!#REF!</f>
        <v>#REF!</v>
      </c>
      <c r="K250" s="37" t="e">
        <f>'14 Håndtering og bortskaffelse'!#REF!</f>
        <v>#REF!</v>
      </c>
      <c r="L250" s="37" t="e">
        <f>'14 Håndtering og bortskaffelse'!#REF!</f>
        <v>#REF!</v>
      </c>
      <c r="M250" s="37" t="e">
        <f>'14 Håndtering og bortskaffelse'!#REF!</f>
        <v>#REF!</v>
      </c>
      <c r="N250" s="37" t="e">
        <f>'14 Håndtering og bortskaffelse'!#REF!</f>
        <v>#REF!</v>
      </c>
      <c r="O250" s="37" t="e">
        <f>'14 Håndtering og bortskaffelse'!#REF!</f>
        <v>#REF!</v>
      </c>
      <c r="P250" s="37" t="e">
        <f>'14 Håndtering og bortskaffelse'!#REF!</f>
        <v>#REF!</v>
      </c>
      <c r="Q250" s="37" t="e">
        <f>'14 Håndtering og bortskaffelse'!#REF!</f>
        <v>#REF!</v>
      </c>
      <c r="R250" s="37" t="e">
        <f>'14 Håndtering og bortskaffelse'!#REF!</f>
        <v>#REF!</v>
      </c>
      <c r="S250" s="37" t="e">
        <f>'14 Håndtering og bortskaffelse'!#REF!</f>
        <v>#REF!</v>
      </c>
      <c r="T250" s="39" t="e">
        <f>'14 Håndtering og bortskaffelse'!#REF!</f>
        <v>#REF!</v>
      </c>
      <c r="U250" s="40" t="e">
        <f>'14 Håndtering og bortskaffelse'!#REF!</f>
        <v>#REF!</v>
      </c>
      <c r="V250" s="37" t="s">
        <v>828</v>
      </c>
      <c r="W250" s="37" t="s">
        <v>822</v>
      </c>
      <c r="X250" s="37" t="s">
        <v>98</v>
      </c>
    </row>
    <row r="251" spans="1:24" s="37" customFormat="1" x14ac:dyDescent="0.25">
      <c r="A251" s="37">
        <v>6</v>
      </c>
      <c r="B251" s="37" t="s">
        <v>569</v>
      </c>
      <c r="C251" s="37" t="s">
        <v>570</v>
      </c>
      <c r="D251" s="38" t="str">
        <f>'14 Håndtering og bortskaffelse'!C6</f>
        <v>M3</v>
      </c>
      <c r="E251" s="37">
        <f>'14 Håndtering og bortskaffelse'!D6</f>
        <v>4</v>
      </c>
      <c r="F251" s="37">
        <f>'14 Håndtering og bortskaffelse'!E6</f>
        <v>29</v>
      </c>
      <c r="G251" s="37">
        <f>'14 Håndtering og bortskaffelse'!F6</f>
        <v>0</v>
      </c>
      <c r="H251" s="37">
        <f>'14 Håndtering og bortskaffelse'!G6</f>
        <v>0</v>
      </c>
      <c r="I251" s="37">
        <f>'14 Håndtering og bortskaffelse'!H6</f>
        <v>0</v>
      </c>
      <c r="J251" s="37">
        <f>'14 Håndtering og bortskaffelse'!I6</f>
        <v>1093</v>
      </c>
      <c r="K251" s="37">
        <f>'14 Håndtering og bortskaffelse'!J6</f>
        <v>0</v>
      </c>
      <c r="L251" s="37">
        <f>'14 Håndtering og bortskaffelse'!K6</f>
        <v>0</v>
      </c>
      <c r="M251" s="37">
        <f>'14 Håndtering og bortskaffelse'!L6</f>
        <v>0</v>
      </c>
      <c r="N251" s="37">
        <f>'14 Håndtering og bortskaffelse'!M6</f>
        <v>0</v>
      </c>
      <c r="O251" s="37">
        <f>'14 Håndtering og bortskaffelse'!N6</f>
        <v>0</v>
      </c>
      <c r="P251" s="37">
        <f>'14 Håndtering og bortskaffelse'!O6</f>
        <v>0</v>
      </c>
      <c r="Q251" s="37">
        <f>'14 Håndtering og bortskaffelse'!P6</f>
        <v>0</v>
      </c>
      <c r="R251" s="37">
        <f>'14 Håndtering og bortskaffelse'!Q6</f>
        <v>0</v>
      </c>
      <c r="S251" s="37">
        <f>'14 Håndtering og bortskaffelse'!R6</f>
        <v>1126</v>
      </c>
      <c r="T251" s="39">
        <f>'14 Håndtering og bortskaffelse'!S6</f>
        <v>615</v>
      </c>
      <c r="U251" s="40">
        <f>'14 Håndtering og bortskaffelse'!T6</f>
        <v>692490</v>
      </c>
      <c r="V251" s="37" t="s">
        <v>98</v>
      </c>
      <c r="W251" s="37" t="s">
        <v>98</v>
      </c>
      <c r="X251" s="37" t="s">
        <v>98</v>
      </c>
    </row>
    <row r="252" spans="1:24" s="37" customFormat="1" x14ac:dyDescent="0.25">
      <c r="A252" s="37">
        <v>6</v>
      </c>
      <c r="B252" s="37" t="s">
        <v>571</v>
      </c>
      <c r="C252" s="37" t="s">
        <v>572</v>
      </c>
      <c r="D252" s="38" t="str">
        <f>'14 Håndtering og bortskaffelse'!C7</f>
        <v>M3</v>
      </c>
      <c r="E252" s="37">
        <f>'14 Håndtering og bortskaffelse'!D7</f>
        <v>1</v>
      </c>
      <c r="F252" s="37">
        <f>'14 Håndtering og bortskaffelse'!E7</f>
        <v>13</v>
      </c>
      <c r="G252" s="37">
        <f>'14 Håndtering og bortskaffelse'!F7</f>
        <v>0</v>
      </c>
      <c r="H252" s="37">
        <f>'14 Håndtering og bortskaffelse'!G7</f>
        <v>0</v>
      </c>
      <c r="I252" s="37">
        <f>'14 Håndtering og bortskaffelse'!H7</f>
        <v>0</v>
      </c>
      <c r="J252" s="37">
        <f>'14 Håndtering og bortskaffelse'!I7</f>
        <v>469</v>
      </c>
      <c r="K252" s="37">
        <f>'14 Håndtering og bortskaffelse'!J7</f>
        <v>0</v>
      </c>
      <c r="L252" s="37">
        <f>'14 Håndtering og bortskaffelse'!K7</f>
        <v>0</v>
      </c>
      <c r="M252" s="37">
        <f>'14 Håndtering og bortskaffelse'!L7</f>
        <v>0</v>
      </c>
      <c r="N252" s="37">
        <f>'14 Håndtering og bortskaffelse'!M7</f>
        <v>0</v>
      </c>
      <c r="O252" s="37">
        <f>'14 Håndtering og bortskaffelse'!N7</f>
        <v>0</v>
      </c>
      <c r="P252" s="37">
        <f>'14 Håndtering og bortskaffelse'!O7</f>
        <v>0</v>
      </c>
      <c r="Q252" s="37">
        <f>'14 Håndtering og bortskaffelse'!P7</f>
        <v>0</v>
      </c>
      <c r="R252" s="37">
        <f>'14 Håndtering og bortskaffelse'!Q7</f>
        <v>0</v>
      </c>
      <c r="S252" s="37">
        <f>'14 Håndtering og bortskaffelse'!R7</f>
        <v>483</v>
      </c>
      <c r="T252" s="39">
        <f>'14 Håndtering og bortskaffelse'!S7</f>
        <v>753</v>
      </c>
      <c r="U252" s="40">
        <f>'14 Håndtering og bortskaffelse'!T7</f>
        <v>363699</v>
      </c>
      <c r="V252" s="37" t="s">
        <v>98</v>
      </c>
      <c r="W252" s="37" t="s">
        <v>98</v>
      </c>
      <c r="X252" s="37" t="s">
        <v>98</v>
      </c>
    </row>
    <row r="253" spans="1:24" s="37" customFormat="1" x14ac:dyDescent="0.25">
      <c r="A253" s="37">
        <v>6</v>
      </c>
      <c r="B253" s="37" t="s">
        <v>573</v>
      </c>
      <c r="C253" s="37" t="s">
        <v>574</v>
      </c>
      <c r="D253" s="38" t="str">
        <f>'14 Håndtering og bortskaffelse'!C8</f>
        <v>M3</v>
      </c>
      <c r="E253" s="37">
        <f>'14 Håndtering og bortskaffelse'!D8</f>
        <v>30</v>
      </c>
      <c r="F253" s="37">
        <f>'14 Håndtering og bortskaffelse'!E8</f>
        <v>237</v>
      </c>
      <c r="G253" s="37">
        <f>'14 Håndtering og bortskaffelse'!F8</f>
        <v>0</v>
      </c>
      <c r="H253" s="37">
        <f>'14 Håndtering og bortskaffelse'!G8</f>
        <v>0</v>
      </c>
      <c r="I253" s="37">
        <f>'14 Håndtering og bortskaffelse'!H8</f>
        <v>0</v>
      </c>
      <c r="J253" s="37">
        <f>'14 Håndtering og bortskaffelse'!I8</f>
        <v>9332</v>
      </c>
      <c r="K253" s="37">
        <f>'14 Håndtering og bortskaffelse'!J8</f>
        <v>0</v>
      </c>
      <c r="L253" s="37">
        <f>'14 Håndtering og bortskaffelse'!K8</f>
        <v>0</v>
      </c>
      <c r="M253" s="37">
        <f>'14 Håndtering og bortskaffelse'!L8</f>
        <v>0</v>
      </c>
      <c r="N253" s="37">
        <f>'14 Håndtering og bortskaffelse'!M8</f>
        <v>0</v>
      </c>
      <c r="O253" s="37">
        <f>'14 Håndtering og bortskaffelse'!N8</f>
        <v>0</v>
      </c>
      <c r="P253" s="37">
        <f>'14 Håndtering og bortskaffelse'!O8</f>
        <v>0</v>
      </c>
      <c r="Q253" s="37">
        <f>'14 Håndtering og bortskaffelse'!P8</f>
        <v>0</v>
      </c>
      <c r="R253" s="37">
        <f>'14 Håndtering og bortskaffelse'!Q8</f>
        <v>0</v>
      </c>
      <c r="S253" s="37">
        <f>'14 Håndtering og bortskaffelse'!R8</f>
        <v>9599</v>
      </c>
      <c r="T253" s="39">
        <f>'14 Håndtering og bortskaffelse'!S8</f>
        <v>615</v>
      </c>
      <c r="U253" s="40">
        <f>'14 Håndtering og bortskaffelse'!T8</f>
        <v>5903385</v>
      </c>
      <c r="V253" s="37" t="s">
        <v>98</v>
      </c>
      <c r="W253" s="37" t="s">
        <v>98</v>
      </c>
      <c r="X253" s="37" t="s">
        <v>98</v>
      </c>
    </row>
    <row r="254" spans="1:24" s="37" customFormat="1" x14ac:dyDescent="0.25">
      <c r="A254" s="37">
        <v>6</v>
      </c>
      <c r="B254" s="37" t="s">
        <v>575</v>
      </c>
      <c r="C254" s="37" t="s">
        <v>576</v>
      </c>
      <c r="D254" s="38" t="str">
        <f>'14 Håndtering og bortskaffelse'!C9</f>
        <v>M3</v>
      </c>
      <c r="E254" s="37">
        <f>'14 Håndtering og bortskaffelse'!D9</f>
        <v>13</v>
      </c>
      <c r="F254" s="37">
        <f>'14 Håndtering og bortskaffelse'!E9</f>
        <v>102</v>
      </c>
      <c r="G254" s="37">
        <f>'14 Håndtering og bortskaffelse'!F9</f>
        <v>0</v>
      </c>
      <c r="H254" s="37">
        <f>'14 Håndtering og bortskaffelse'!G9</f>
        <v>0</v>
      </c>
      <c r="I254" s="37">
        <f>'14 Håndtering og bortskaffelse'!H9</f>
        <v>0</v>
      </c>
      <c r="J254" s="37">
        <f>'14 Håndtering og bortskaffelse'!I9</f>
        <v>3485</v>
      </c>
      <c r="K254" s="37">
        <f>'14 Håndtering og bortskaffelse'!J9</f>
        <v>0</v>
      </c>
      <c r="L254" s="37">
        <f>'14 Håndtering og bortskaffelse'!K9</f>
        <v>0</v>
      </c>
      <c r="M254" s="37">
        <f>'14 Håndtering og bortskaffelse'!L9</f>
        <v>0</v>
      </c>
      <c r="N254" s="37">
        <f>'14 Håndtering og bortskaffelse'!M9</f>
        <v>0</v>
      </c>
      <c r="O254" s="37">
        <f>'14 Håndtering og bortskaffelse'!N9</f>
        <v>0</v>
      </c>
      <c r="P254" s="37">
        <f>'14 Håndtering og bortskaffelse'!O9</f>
        <v>0</v>
      </c>
      <c r="Q254" s="37">
        <f>'14 Håndtering og bortskaffelse'!P9</f>
        <v>0</v>
      </c>
      <c r="R254" s="37">
        <f>'14 Håndtering og bortskaffelse'!Q9</f>
        <v>0</v>
      </c>
      <c r="S254" s="37">
        <f>'14 Håndtering og bortskaffelse'!R9</f>
        <v>3600</v>
      </c>
      <c r="T254" s="39">
        <f>'14 Håndtering og bortskaffelse'!S9</f>
        <v>753</v>
      </c>
      <c r="U254" s="40">
        <f>'14 Håndtering og bortskaffelse'!T9</f>
        <v>2710800</v>
      </c>
      <c r="V254" s="37" t="s">
        <v>98</v>
      </c>
      <c r="W254" s="37" t="s">
        <v>98</v>
      </c>
      <c r="X254" s="37" t="s">
        <v>98</v>
      </c>
    </row>
    <row r="255" spans="1:24" s="37" customFormat="1" x14ac:dyDescent="0.25">
      <c r="A255" s="37">
        <v>6</v>
      </c>
      <c r="B255" s="37" t="s">
        <v>577</v>
      </c>
      <c r="C255" s="37" t="s">
        <v>578</v>
      </c>
      <c r="D255" s="38" t="str">
        <f>'14 Håndtering og bortskaffelse'!C10</f>
        <v>M3</v>
      </c>
      <c r="E255" s="37">
        <f>'14 Håndtering og bortskaffelse'!D10</f>
        <v>0</v>
      </c>
      <c r="F255" s="37">
        <f>'14 Håndtering og bortskaffelse'!E10</f>
        <v>37</v>
      </c>
      <c r="G255" s="37">
        <f>'14 Håndtering og bortskaffelse'!F10</f>
        <v>0</v>
      </c>
      <c r="H255" s="37">
        <f>'14 Håndtering og bortskaffelse'!G10</f>
        <v>0</v>
      </c>
      <c r="I255" s="37">
        <f>'14 Håndtering og bortskaffelse'!H10</f>
        <v>0</v>
      </c>
      <c r="J255" s="37">
        <f>'14 Håndtering og bortskaffelse'!I10</f>
        <v>10</v>
      </c>
      <c r="K255" s="37">
        <f>'14 Håndtering og bortskaffelse'!J10</f>
        <v>0</v>
      </c>
      <c r="L255" s="37">
        <f>'14 Håndtering og bortskaffelse'!K10</f>
        <v>0</v>
      </c>
      <c r="M255" s="37">
        <f>'14 Håndtering og bortskaffelse'!L10</f>
        <v>0</v>
      </c>
      <c r="N255" s="37">
        <f>'14 Håndtering og bortskaffelse'!M10</f>
        <v>0</v>
      </c>
      <c r="O255" s="37">
        <f>'14 Håndtering og bortskaffelse'!N10</f>
        <v>0</v>
      </c>
      <c r="P255" s="37">
        <f>'14 Håndtering og bortskaffelse'!O10</f>
        <v>0</v>
      </c>
      <c r="Q255" s="37">
        <f>'14 Håndtering og bortskaffelse'!P10</f>
        <v>0</v>
      </c>
      <c r="R255" s="37">
        <f>'14 Håndtering og bortskaffelse'!Q10</f>
        <v>0</v>
      </c>
      <c r="S255" s="37">
        <f>'14 Håndtering og bortskaffelse'!R10</f>
        <v>47</v>
      </c>
      <c r="T255" s="39">
        <f>'14 Håndtering og bortskaffelse'!S10</f>
        <v>615</v>
      </c>
      <c r="U255" s="40">
        <f>'14 Håndtering og bortskaffelse'!T10</f>
        <v>28905</v>
      </c>
      <c r="V255" s="37" t="s">
        <v>98</v>
      </c>
      <c r="W255" s="37" t="s">
        <v>98</v>
      </c>
      <c r="X255" s="37" t="s">
        <v>98</v>
      </c>
    </row>
    <row r="256" spans="1:24" s="37" customFormat="1" x14ac:dyDescent="0.25">
      <c r="A256" s="37">
        <v>6</v>
      </c>
      <c r="B256" s="37" t="s">
        <v>579</v>
      </c>
      <c r="C256" s="37" t="s">
        <v>580</v>
      </c>
      <c r="D256" s="38" t="str">
        <f>'14 Håndtering og bortskaffelse'!C11</f>
        <v>M3</v>
      </c>
      <c r="E256" s="37">
        <f>'14 Håndtering og bortskaffelse'!D11</f>
        <v>0</v>
      </c>
      <c r="F256" s="37">
        <f>'14 Håndtering og bortskaffelse'!E11</f>
        <v>16</v>
      </c>
      <c r="G256" s="37">
        <f>'14 Håndtering og bortskaffelse'!F11</f>
        <v>0</v>
      </c>
      <c r="H256" s="37">
        <f>'14 Håndtering og bortskaffelse'!G11</f>
        <v>0</v>
      </c>
      <c r="I256" s="37">
        <f>'14 Håndtering og bortskaffelse'!H11</f>
        <v>0</v>
      </c>
      <c r="J256" s="37">
        <f>'14 Håndtering og bortskaffelse'!I11</f>
        <v>4</v>
      </c>
      <c r="K256" s="37">
        <f>'14 Håndtering og bortskaffelse'!J11</f>
        <v>0</v>
      </c>
      <c r="L256" s="37">
        <f>'14 Håndtering og bortskaffelse'!K11</f>
        <v>0</v>
      </c>
      <c r="M256" s="37">
        <f>'14 Håndtering og bortskaffelse'!L11</f>
        <v>0</v>
      </c>
      <c r="N256" s="37">
        <f>'14 Håndtering og bortskaffelse'!M11</f>
        <v>0</v>
      </c>
      <c r="O256" s="37">
        <f>'14 Håndtering og bortskaffelse'!N11</f>
        <v>0</v>
      </c>
      <c r="P256" s="37">
        <f>'14 Håndtering og bortskaffelse'!O11</f>
        <v>0</v>
      </c>
      <c r="Q256" s="37">
        <f>'14 Håndtering og bortskaffelse'!P11</f>
        <v>0</v>
      </c>
      <c r="R256" s="37">
        <f>'14 Håndtering og bortskaffelse'!Q11</f>
        <v>0</v>
      </c>
      <c r="S256" s="37">
        <f>'14 Håndtering og bortskaffelse'!R11</f>
        <v>20</v>
      </c>
      <c r="T256" s="39">
        <f>'14 Håndtering og bortskaffelse'!S11</f>
        <v>753</v>
      </c>
      <c r="U256" s="40">
        <f>'14 Håndtering og bortskaffelse'!T11</f>
        <v>15060</v>
      </c>
      <c r="V256" s="37" t="s">
        <v>98</v>
      </c>
      <c r="W256" s="37" t="s">
        <v>98</v>
      </c>
      <c r="X256" s="37" t="s">
        <v>98</v>
      </c>
    </row>
    <row r="257" spans="1:24" s="37" customFormat="1" x14ac:dyDescent="0.25">
      <c r="A257" s="37">
        <v>5</v>
      </c>
      <c r="B257" s="37" t="s">
        <v>581</v>
      </c>
      <c r="C257" s="37" t="s">
        <v>582</v>
      </c>
      <c r="D257" s="38" t="str">
        <f>'14 Håndtering og bortskaffelse'!C12</f>
        <v>TON</v>
      </c>
      <c r="E257" s="37">
        <f>'14 Håndtering og bortskaffelse'!D12</f>
        <v>0</v>
      </c>
      <c r="F257" s="37">
        <f>'14 Håndtering og bortskaffelse'!E12</f>
        <v>1</v>
      </c>
      <c r="G257" s="37">
        <f>'14 Håndtering og bortskaffelse'!F12</f>
        <v>0</v>
      </c>
      <c r="H257" s="37">
        <f>'14 Håndtering og bortskaffelse'!G12</f>
        <v>0</v>
      </c>
      <c r="I257" s="37">
        <f>'14 Håndtering og bortskaffelse'!H12</f>
        <v>0</v>
      </c>
      <c r="J257" s="37">
        <f>'14 Håndtering og bortskaffelse'!I12</f>
        <v>1</v>
      </c>
      <c r="K257" s="37">
        <f>'14 Håndtering og bortskaffelse'!J12</f>
        <v>0</v>
      </c>
      <c r="L257" s="37">
        <f>'14 Håndtering og bortskaffelse'!K12</f>
        <v>0</v>
      </c>
      <c r="M257" s="37">
        <f>'14 Håndtering og bortskaffelse'!L12</f>
        <v>0</v>
      </c>
      <c r="N257" s="37">
        <f>'14 Håndtering og bortskaffelse'!M12</f>
        <v>0</v>
      </c>
      <c r="O257" s="37">
        <f>'14 Håndtering og bortskaffelse'!N12</f>
        <v>0</v>
      </c>
      <c r="P257" s="37">
        <f>'14 Håndtering og bortskaffelse'!O12</f>
        <v>0</v>
      </c>
      <c r="Q257" s="37">
        <f>'14 Håndtering og bortskaffelse'!P12</f>
        <v>0</v>
      </c>
      <c r="R257" s="37">
        <f>'14 Håndtering og bortskaffelse'!Q12</f>
        <v>0</v>
      </c>
      <c r="S257" s="37">
        <f>'14 Håndtering og bortskaffelse'!R12</f>
        <v>2</v>
      </c>
      <c r="T257" s="39">
        <f>'14 Håndtering og bortskaffelse'!S12</f>
        <v>49</v>
      </c>
      <c r="U257" s="40">
        <f>'14 Håndtering og bortskaffelse'!T12</f>
        <v>98</v>
      </c>
      <c r="V257" s="37" t="s">
        <v>98</v>
      </c>
      <c r="W257" s="37" t="s">
        <v>822</v>
      </c>
      <c r="X257" s="37" t="s">
        <v>98</v>
      </c>
    </row>
    <row r="258" spans="1:24" s="37" customFormat="1" x14ac:dyDescent="0.25">
      <c r="A258" s="37">
        <v>5</v>
      </c>
      <c r="B258" s="37" t="s">
        <v>584</v>
      </c>
      <c r="C258" s="37" t="s">
        <v>585</v>
      </c>
      <c r="D258" s="38" t="str">
        <f>'14 Håndtering og bortskaffelse'!C13</f>
        <v>TON</v>
      </c>
      <c r="E258" s="37">
        <f>'14 Håndtering og bortskaffelse'!D13</f>
        <v>0</v>
      </c>
      <c r="F258" s="37">
        <f>'14 Håndtering og bortskaffelse'!E13</f>
        <v>1</v>
      </c>
      <c r="G258" s="37">
        <f>'14 Håndtering og bortskaffelse'!F13</f>
        <v>0</v>
      </c>
      <c r="H258" s="37">
        <f>'14 Håndtering og bortskaffelse'!G13</f>
        <v>1</v>
      </c>
      <c r="I258" s="37">
        <f>'14 Håndtering og bortskaffelse'!H13</f>
        <v>0</v>
      </c>
      <c r="J258" s="37">
        <f>'14 Håndtering og bortskaffelse'!I13</f>
        <v>40</v>
      </c>
      <c r="K258" s="37">
        <f>'14 Håndtering og bortskaffelse'!J13</f>
        <v>0</v>
      </c>
      <c r="L258" s="37">
        <f>'14 Håndtering og bortskaffelse'!K13</f>
        <v>2</v>
      </c>
      <c r="M258" s="37">
        <f>'14 Håndtering og bortskaffelse'!L13</f>
        <v>0</v>
      </c>
      <c r="N258" s="37">
        <f>'14 Håndtering og bortskaffelse'!M13</f>
        <v>0</v>
      </c>
      <c r="O258" s="37">
        <f>'14 Håndtering og bortskaffelse'!N13</f>
        <v>2</v>
      </c>
      <c r="P258" s="37">
        <f>'14 Håndtering og bortskaffelse'!O13</f>
        <v>0</v>
      </c>
      <c r="Q258" s="37">
        <f>'14 Håndtering og bortskaffelse'!P13</f>
        <v>0</v>
      </c>
      <c r="R258" s="37">
        <f>'14 Håndtering og bortskaffelse'!Q13</f>
        <v>0</v>
      </c>
      <c r="S258" s="37">
        <f>'14 Håndtering og bortskaffelse'!R13</f>
        <v>46</v>
      </c>
      <c r="T258" s="39">
        <f>'14 Håndtering og bortskaffelse'!S13</f>
        <v>2760</v>
      </c>
      <c r="U258" s="40">
        <f>'14 Håndtering og bortskaffelse'!T13</f>
        <v>126960</v>
      </c>
      <c r="V258" s="37" t="s">
        <v>98</v>
      </c>
      <c r="W258" s="37" t="s">
        <v>98</v>
      </c>
      <c r="X258" s="37" t="s">
        <v>98</v>
      </c>
    </row>
    <row r="259" spans="1:24" s="37" customFormat="1" x14ac:dyDescent="0.25">
      <c r="A259" s="37">
        <v>5</v>
      </c>
      <c r="B259" s="37" t="s">
        <v>586</v>
      </c>
      <c r="C259" s="37" t="s">
        <v>587</v>
      </c>
      <c r="D259" s="38" t="str">
        <f>'14 Håndtering og bortskaffelse'!C14</f>
        <v>M3</v>
      </c>
      <c r="E259" s="37">
        <f>'14 Håndtering og bortskaffelse'!D14</f>
        <v>0</v>
      </c>
      <c r="F259" s="37">
        <f>'14 Håndtering og bortskaffelse'!E14</f>
        <v>3</v>
      </c>
      <c r="G259" s="37">
        <f>'14 Håndtering og bortskaffelse'!F14</f>
        <v>0</v>
      </c>
      <c r="H259" s="37">
        <f>'14 Håndtering og bortskaffelse'!G14</f>
        <v>0</v>
      </c>
      <c r="I259" s="37">
        <f>'14 Håndtering og bortskaffelse'!H14</f>
        <v>0</v>
      </c>
      <c r="J259" s="37">
        <f>'14 Håndtering og bortskaffelse'!I14</f>
        <v>0</v>
      </c>
      <c r="K259" s="37">
        <f>'14 Håndtering og bortskaffelse'!J14</f>
        <v>0</v>
      </c>
      <c r="L259" s="37">
        <f>'14 Håndtering og bortskaffelse'!K14</f>
        <v>0</v>
      </c>
      <c r="M259" s="37">
        <f>'14 Håndtering og bortskaffelse'!L14</f>
        <v>0</v>
      </c>
      <c r="N259" s="37">
        <f>'14 Håndtering og bortskaffelse'!M14</f>
        <v>0</v>
      </c>
      <c r="O259" s="37">
        <f>'14 Håndtering og bortskaffelse'!N14</f>
        <v>0</v>
      </c>
      <c r="P259" s="37">
        <f>'14 Håndtering og bortskaffelse'!O14</f>
        <v>0</v>
      </c>
      <c r="Q259" s="37">
        <f>'14 Håndtering og bortskaffelse'!P14</f>
        <v>0</v>
      </c>
      <c r="R259" s="37">
        <f>'14 Håndtering og bortskaffelse'!Q14</f>
        <v>0</v>
      </c>
      <c r="S259" s="37">
        <f>'14 Håndtering og bortskaffelse'!R14</f>
        <v>3</v>
      </c>
      <c r="T259" s="39">
        <f>'14 Håndtering og bortskaffelse'!S14</f>
        <v>539</v>
      </c>
      <c r="U259" s="40">
        <f>'14 Håndtering og bortskaffelse'!T14</f>
        <v>1617</v>
      </c>
      <c r="V259" s="37" t="s">
        <v>98</v>
      </c>
      <c r="W259" s="37" t="s">
        <v>98</v>
      </c>
      <c r="X259" s="37" t="s">
        <v>98</v>
      </c>
    </row>
    <row r="260" spans="1:24" s="37" customFormat="1" x14ac:dyDescent="0.25">
      <c r="A260" s="37">
        <v>5</v>
      </c>
      <c r="B260" s="37" t="s">
        <v>588</v>
      </c>
      <c r="C260" s="37" t="s">
        <v>589</v>
      </c>
      <c r="D260" s="38" t="str">
        <f>'14 Håndtering og bortskaffelse'!C15</f>
        <v>M</v>
      </c>
      <c r="E260" s="37">
        <f>'14 Håndtering og bortskaffelse'!D15</f>
        <v>0</v>
      </c>
      <c r="F260" s="37">
        <f>'14 Håndtering og bortskaffelse'!E15</f>
        <v>61</v>
      </c>
      <c r="G260" s="37">
        <f>'14 Håndtering og bortskaffelse'!F15</f>
        <v>0</v>
      </c>
      <c r="H260" s="37">
        <f>'14 Håndtering og bortskaffelse'!G15</f>
        <v>22</v>
      </c>
      <c r="I260" s="37">
        <f>'14 Håndtering og bortskaffelse'!H15</f>
        <v>0</v>
      </c>
      <c r="J260" s="37">
        <f>'14 Håndtering og bortskaffelse'!I15</f>
        <v>0</v>
      </c>
      <c r="K260" s="37">
        <f>'14 Håndtering og bortskaffelse'!J15</f>
        <v>0</v>
      </c>
      <c r="L260" s="37">
        <f>'14 Håndtering og bortskaffelse'!K15</f>
        <v>0</v>
      </c>
      <c r="M260" s="37">
        <f>'14 Håndtering og bortskaffelse'!L15</f>
        <v>0</v>
      </c>
      <c r="N260" s="37">
        <f>'14 Håndtering og bortskaffelse'!M15</f>
        <v>0</v>
      </c>
      <c r="O260" s="37">
        <f>'14 Håndtering og bortskaffelse'!N15</f>
        <v>0</v>
      </c>
      <c r="P260" s="37">
        <f>'14 Håndtering og bortskaffelse'!O15</f>
        <v>0</v>
      </c>
      <c r="Q260" s="37">
        <f>'14 Håndtering og bortskaffelse'!P15</f>
        <v>0</v>
      </c>
      <c r="R260" s="37">
        <f>'14 Håndtering og bortskaffelse'!Q15</f>
        <v>0</v>
      </c>
      <c r="S260" s="37">
        <f>'14 Håndtering og bortskaffelse'!R15</f>
        <v>83</v>
      </c>
      <c r="T260" s="39">
        <f>'14 Håndtering og bortskaffelse'!S15</f>
        <v>28</v>
      </c>
      <c r="U260" s="40">
        <f>'14 Håndtering og bortskaffelse'!T15</f>
        <v>2324</v>
      </c>
      <c r="V260" s="37" t="s">
        <v>98</v>
      </c>
      <c r="W260" s="37" t="s">
        <v>98</v>
      </c>
      <c r="X260" s="37" t="s">
        <v>98</v>
      </c>
    </row>
    <row r="261" spans="1:24" s="37" customFormat="1" x14ac:dyDescent="0.25">
      <c r="A261" s="37">
        <v>5</v>
      </c>
      <c r="B261" s="37" t="s">
        <v>590</v>
      </c>
      <c r="C261" s="37" t="s">
        <v>591</v>
      </c>
      <c r="D261" s="38" t="str">
        <f>'14 Håndtering og bortskaffelse'!C16</f>
        <v>TON</v>
      </c>
      <c r="E261" s="37">
        <f>'14 Håndtering og bortskaffelse'!D16</f>
        <v>0</v>
      </c>
      <c r="F261" s="37">
        <f>'14 Håndtering og bortskaffelse'!E16</f>
        <v>4</v>
      </c>
      <c r="G261" s="37">
        <f>'14 Håndtering og bortskaffelse'!F16</f>
        <v>0</v>
      </c>
      <c r="H261" s="37">
        <f>'14 Håndtering og bortskaffelse'!G16</f>
        <v>0</v>
      </c>
      <c r="I261" s="37">
        <f>'14 Håndtering og bortskaffelse'!H16</f>
        <v>0</v>
      </c>
      <c r="J261" s="37">
        <f>'14 Håndtering og bortskaffelse'!I16</f>
        <v>0</v>
      </c>
      <c r="K261" s="37">
        <f>'14 Håndtering og bortskaffelse'!J16</f>
        <v>0</v>
      </c>
      <c r="L261" s="37">
        <f>'14 Håndtering og bortskaffelse'!K16</f>
        <v>0</v>
      </c>
      <c r="M261" s="37">
        <f>'14 Håndtering og bortskaffelse'!L16</f>
        <v>0</v>
      </c>
      <c r="N261" s="37">
        <f>'14 Håndtering og bortskaffelse'!M16</f>
        <v>0</v>
      </c>
      <c r="O261" s="37">
        <f>'14 Håndtering og bortskaffelse'!N16</f>
        <v>0</v>
      </c>
      <c r="P261" s="37">
        <f>'14 Håndtering og bortskaffelse'!O16</f>
        <v>0</v>
      </c>
      <c r="Q261" s="37">
        <f>'14 Håndtering og bortskaffelse'!P16</f>
        <v>0</v>
      </c>
      <c r="R261" s="37">
        <f>'14 Håndtering og bortskaffelse'!Q16</f>
        <v>0</v>
      </c>
      <c r="S261" s="37">
        <f>'14 Håndtering og bortskaffelse'!R16</f>
        <v>4</v>
      </c>
      <c r="T261" s="39">
        <f>'14 Håndtering og bortskaffelse'!S16</f>
        <v>49</v>
      </c>
      <c r="U261" s="40">
        <f>'14 Håndtering og bortskaffelse'!T16</f>
        <v>196</v>
      </c>
      <c r="V261" s="37" t="s">
        <v>98</v>
      </c>
      <c r="W261" s="37" t="s">
        <v>98</v>
      </c>
      <c r="X261" s="37" t="s">
        <v>98</v>
      </c>
    </row>
    <row r="262" spans="1:24" s="37" customFormat="1" x14ac:dyDescent="0.25">
      <c r="A262" s="37">
        <v>5</v>
      </c>
      <c r="B262" s="37" t="s">
        <v>592</v>
      </c>
      <c r="C262" s="37" t="s">
        <v>593</v>
      </c>
      <c r="D262" s="38" t="str">
        <f>'14 Håndtering og bortskaffelse'!C17</f>
        <v>TON</v>
      </c>
      <c r="E262" s="37">
        <f>'14 Håndtering og bortskaffelse'!D17</f>
        <v>0</v>
      </c>
      <c r="F262" s="37">
        <f>'14 Håndtering og bortskaffelse'!E17</f>
        <v>1</v>
      </c>
      <c r="G262" s="37">
        <f>'14 Håndtering og bortskaffelse'!F17</f>
        <v>0</v>
      </c>
      <c r="H262" s="37">
        <f>'14 Håndtering og bortskaffelse'!G17</f>
        <v>0</v>
      </c>
      <c r="I262" s="37">
        <f>'14 Håndtering og bortskaffelse'!H17</f>
        <v>0</v>
      </c>
      <c r="J262" s="37">
        <f>'14 Håndtering og bortskaffelse'!I17</f>
        <v>0</v>
      </c>
      <c r="K262" s="37">
        <f>'14 Håndtering og bortskaffelse'!J17</f>
        <v>0</v>
      </c>
      <c r="L262" s="37">
        <f>'14 Håndtering og bortskaffelse'!K17</f>
        <v>0</v>
      </c>
      <c r="M262" s="37">
        <f>'14 Håndtering og bortskaffelse'!L17</f>
        <v>0</v>
      </c>
      <c r="N262" s="37">
        <f>'14 Håndtering og bortskaffelse'!M17</f>
        <v>0</v>
      </c>
      <c r="O262" s="37">
        <f>'14 Håndtering og bortskaffelse'!N17</f>
        <v>0</v>
      </c>
      <c r="P262" s="37">
        <f>'14 Håndtering og bortskaffelse'!O17</f>
        <v>0</v>
      </c>
      <c r="Q262" s="37">
        <f>'14 Håndtering og bortskaffelse'!P17</f>
        <v>0</v>
      </c>
      <c r="R262" s="37">
        <f>'14 Håndtering og bortskaffelse'!Q17</f>
        <v>0</v>
      </c>
      <c r="S262" s="37">
        <f>'14 Håndtering og bortskaffelse'!R17</f>
        <v>1</v>
      </c>
      <c r="T262" s="39">
        <f>'14 Håndtering og bortskaffelse'!S17</f>
        <v>49</v>
      </c>
      <c r="U262" s="40">
        <f>'14 Håndtering og bortskaffelse'!T17</f>
        <v>49</v>
      </c>
      <c r="V262" s="37" t="s">
        <v>98</v>
      </c>
      <c r="W262" s="37" t="s">
        <v>98</v>
      </c>
      <c r="X262" s="37" t="s">
        <v>98</v>
      </c>
    </row>
    <row r="263" spans="1:24" s="32" customFormat="1" ht="15.75" x14ac:dyDescent="0.25">
      <c r="A263" s="32">
        <v>3</v>
      </c>
      <c r="B263" s="32" t="s">
        <v>50</v>
      </c>
      <c r="C263" s="32" t="s">
        <v>51</v>
      </c>
      <c r="D263" s="33" t="str">
        <f>'15 Administration og arbejdspla'!C2</f>
        <v/>
      </c>
      <c r="E263" s="32">
        <f>'15 Administration og arbejdspla'!D2</f>
        <v>0</v>
      </c>
      <c r="F263" s="32">
        <f>'15 Administration og arbejdspla'!E2</f>
        <v>0</v>
      </c>
      <c r="G263" s="32">
        <f>'15 Administration og arbejdspla'!F2</f>
        <v>0</v>
      </c>
      <c r="H263" s="32">
        <f>'15 Administration og arbejdspla'!G2</f>
        <v>0</v>
      </c>
      <c r="I263" s="32">
        <f>'15 Administration og arbejdspla'!H2</f>
        <v>0</v>
      </c>
      <c r="J263" s="32">
        <f>'15 Administration og arbejdspla'!I2</f>
        <v>0</v>
      </c>
      <c r="K263" s="32">
        <f>'15 Administration og arbejdspla'!J2</f>
        <v>0</v>
      </c>
      <c r="L263" s="32">
        <f>'15 Administration og arbejdspla'!K2</f>
        <v>0</v>
      </c>
      <c r="M263" s="32">
        <f>'15 Administration og arbejdspla'!L2</f>
        <v>0</v>
      </c>
      <c r="N263" s="32">
        <f>'15 Administration og arbejdspla'!M2</f>
        <v>0</v>
      </c>
      <c r="O263" s="32">
        <f>'15 Administration og arbejdspla'!N2</f>
        <v>0</v>
      </c>
      <c r="P263" s="32">
        <f>'15 Administration og arbejdspla'!O2</f>
        <v>0</v>
      </c>
      <c r="Q263" s="32">
        <f>'15 Administration og arbejdspla'!P2</f>
        <v>0</v>
      </c>
      <c r="R263" s="32">
        <f>'15 Administration og arbejdspla'!Q2</f>
        <v>0</v>
      </c>
      <c r="S263" s="32">
        <f>'15 Administration og arbejdspla'!R2</f>
        <v>0</v>
      </c>
      <c r="T263" s="34">
        <f>'15 Administration og arbejdspla'!S2</f>
        <v>0</v>
      </c>
      <c r="U263" s="35">
        <f>'15 Administration og arbejdspla'!T2</f>
        <v>0</v>
      </c>
      <c r="V263" s="32" t="s">
        <v>98</v>
      </c>
      <c r="W263" s="32" t="s">
        <v>98</v>
      </c>
      <c r="X263" s="32" t="s">
        <v>98</v>
      </c>
    </row>
    <row r="264" spans="1:24" s="36" customFormat="1" x14ac:dyDescent="0.25">
      <c r="A264" s="28">
        <v>4</v>
      </c>
      <c r="B264" s="28" t="s">
        <v>594</v>
      </c>
      <c r="C264" s="28" t="s">
        <v>595</v>
      </c>
      <c r="D264" s="50" t="str">
        <f>'15 Administration og arbejdspla'!C3</f>
        <v/>
      </c>
      <c r="E264" s="28">
        <f>'15 Administration og arbejdspla'!D3</f>
        <v>0</v>
      </c>
      <c r="F264" s="28">
        <f>'15 Administration og arbejdspla'!E3</f>
        <v>0</v>
      </c>
      <c r="G264" s="28">
        <f>'15 Administration og arbejdspla'!F3</f>
        <v>0</v>
      </c>
      <c r="H264" s="28">
        <f>'15 Administration og arbejdspla'!G3</f>
        <v>0</v>
      </c>
      <c r="I264" s="28">
        <f>'15 Administration og arbejdspla'!H3</f>
        <v>0</v>
      </c>
      <c r="J264" s="28">
        <f>'15 Administration og arbejdspla'!I3</f>
        <v>0</v>
      </c>
      <c r="K264" s="28">
        <f>'15 Administration og arbejdspla'!J3</f>
        <v>0</v>
      </c>
      <c r="L264" s="28">
        <f>'15 Administration og arbejdspla'!K3</f>
        <v>0</v>
      </c>
      <c r="M264" s="28">
        <f>'15 Administration og arbejdspla'!L3</f>
        <v>0</v>
      </c>
      <c r="N264" s="28">
        <f>'15 Administration og arbejdspla'!M3</f>
        <v>0</v>
      </c>
      <c r="O264" s="28">
        <f>'15 Administration og arbejdspla'!N3</f>
        <v>0</v>
      </c>
      <c r="P264" s="28">
        <f>'15 Administration og arbejdspla'!O3</f>
        <v>0</v>
      </c>
      <c r="Q264" s="28">
        <f>'15 Administration og arbejdspla'!P3</f>
        <v>0</v>
      </c>
      <c r="R264" s="28">
        <f>'15 Administration og arbejdspla'!Q3</f>
        <v>0</v>
      </c>
      <c r="S264" s="28">
        <f>'15 Administration og arbejdspla'!R3</f>
        <v>0</v>
      </c>
      <c r="T264" s="51">
        <f>'15 Administration og arbejdspla'!S3</f>
        <v>0</v>
      </c>
      <c r="U264" s="52">
        <f>'15 Administration og arbejdspla'!T3</f>
        <v>0</v>
      </c>
      <c r="V264" s="28" t="s">
        <v>98</v>
      </c>
      <c r="W264" s="28" t="s">
        <v>98</v>
      </c>
      <c r="X264" s="28" t="s">
        <v>98</v>
      </c>
    </row>
    <row r="265" spans="1:24" s="37" customFormat="1" x14ac:dyDescent="0.25">
      <c r="A265" s="37">
        <v>5</v>
      </c>
      <c r="B265" s="37" t="s">
        <v>596</v>
      </c>
      <c r="C265" s="37" t="s">
        <v>597</v>
      </c>
      <c r="D265" s="38" t="str">
        <f>'15 Administration og arbejdspla'!C4</f>
        <v>SUM</v>
      </c>
      <c r="E265" s="37">
        <f>'15 Administration og arbejdspla'!D4</f>
        <v>1</v>
      </c>
      <c r="F265" s="37">
        <f>'15 Administration og arbejdspla'!E4</f>
        <v>0</v>
      </c>
      <c r="G265" s="37">
        <f>'15 Administration og arbejdspla'!F4</f>
        <v>0</v>
      </c>
      <c r="H265" s="37">
        <f>'15 Administration og arbejdspla'!G4</f>
        <v>0</v>
      </c>
      <c r="I265" s="37">
        <f>'15 Administration og arbejdspla'!H4</f>
        <v>0</v>
      </c>
      <c r="J265" s="37">
        <f>'15 Administration og arbejdspla'!I4</f>
        <v>0</v>
      </c>
      <c r="K265" s="37">
        <f>'15 Administration og arbejdspla'!J4</f>
        <v>0</v>
      </c>
      <c r="L265" s="37">
        <f>'15 Administration og arbejdspla'!K4</f>
        <v>0</v>
      </c>
      <c r="M265" s="37">
        <f>'15 Administration og arbejdspla'!L4</f>
        <v>0</v>
      </c>
      <c r="N265" s="37">
        <f>'15 Administration og arbejdspla'!M4</f>
        <v>0</v>
      </c>
      <c r="O265" s="37">
        <f>'15 Administration og arbejdspla'!N4</f>
        <v>0</v>
      </c>
      <c r="P265" s="37">
        <f>'15 Administration og arbejdspla'!O4</f>
        <v>0</v>
      </c>
      <c r="Q265" s="37">
        <f>'15 Administration og arbejdspla'!P4</f>
        <v>0</v>
      </c>
      <c r="R265" s="37">
        <f>'15 Administration og arbejdspla'!Q4</f>
        <v>0</v>
      </c>
      <c r="S265" s="37">
        <f>'15 Administration og arbejdspla'!R4</f>
        <v>1</v>
      </c>
      <c r="T265" s="39">
        <f>'15 Administration og arbejdspla'!S4</f>
        <v>3983069</v>
      </c>
      <c r="U265" s="40">
        <f>'15 Administration og arbejdspla'!T4</f>
        <v>3983069</v>
      </c>
      <c r="V265" s="37" t="s">
        <v>98</v>
      </c>
      <c r="W265" s="37" t="s">
        <v>822</v>
      </c>
      <c r="X265" s="37" t="s">
        <v>98</v>
      </c>
    </row>
    <row r="266" spans="1:24" s="37" customFormat="1" x14ac:dyDescent="0.25">
      <c r="A266" s="37">
        <v>5</v>
      </c>
      <c r="B266" s="37" t="s">
        <v>598</v>
      </c>
      <c r="C266" s="37" t="s">
        <v>599</v>
      </c>
      <c r="D266" s="38" t="str">
        <f>'15 Administration og arbejdspla'!C5</f>
        <v>SUM</v>
      </c>
      <c r="E266" s="37">
        <f>'15 Administration og arbejdspla'!D5</f>
        <v>1</v>
      </c>
      <c r="F266" s="37">
        <f>'15 Administration og arbejdspla'!E5</f>
        <v>0</v>
      </c>
      <c r="G266" s="37">
        <f>'15 Administration og arbejdspla'!F5</f>
        <v>0</v>
      </c>
      <c r="H266" s="37">
        <f>'15 Administration og arbejdspla'!G5</f>
        <v>0</v>
      </c>
      <c r="I266" s="37">
        <f>'15 Administration og arbejdspla'!H5</f>
        <v>0</v>
      </c>
      <c r="J266" s="37">
        <f>'15 Administration og arbejdspla'!I5</f>
        <v>0</v>
      </c>
      <c r="K266" s="37">
        <f>'15 Administration og arbejdspla'!J5</f>
        <v>0</v>
      </c>
      <c r="L266" s="37">
        <f>'15 Administration og arbejdspla'!K5</f>
        <v>0</v>
      </c>
      <c r="M266" s="37">
        <f>'15 Administration og arbejdspla'!L5</f>
        <v>0</v>
      </c>
      <c r="N266" s="37">
        <f>'15 Administration og arbejdspla'!M5</f>
        <v>0</v>
      </c>
      <c r="O266" s="37">
        <f>'15 Administration og arbejdspla'!N5</f>
        <v>0</v>
      </c>
      <c r="P266" s="37">
        <f>'15 Administration og arbejdspla'!O5</f>
        <v>0</v>
      </c>
      <c r="Q266" s="37">
        <f>'15 Administration og arbejdspla'!P5</f>
        <v>0</v>
      </c>
      <c r="R266" s="37">
        <f>'15 Administration og arbejdspla'!Q5</f>
        <v>0</v>
      </c>
      <c r="S266" s="37">
        <f>'15 Administration og arbejdspla'!R5</f>
        <v>1</v>
      </c>
      <c r="T266" s="39">
        <f>'15 Administration og arbejdspla'!S5</f>
        <v>60794</v>
      </c>
      <c r="U266" s="40">
        <f>'15 Administration og arbejdspla'!T5</f>
        <v>60794</v>
      </c>
      <c r="V266" s="37" t="s">
        <v>98</v>
      </c>
      <c r="W266" s="37" t="s">
        <v>822</v>
      </c>
      <c r="X266" s="37" t="s">
        <v>98</v>
      </c>
    </row>
    <row r="267" spans="1:24" s="36" customFormat="1" x14ac:dyDescent="0.25">
      <c r="A267" s="28">
        <v>4</v>
      </c>
      <c r="B267" s="28" t="s">
        <v>600</v>
      </c>
      <c r="C267" s="28" t="s">
        <v>601</v>
      </c>
      <c r="D267" s="50" t="str">
        <f>'15 Administration og arbejdspla'!C6</f>
        <v/>
      </c>
      <c r="E267" s="28">
        <f>'15 Administration og arbejdspla'!D6</f>
        <v>0</v>
      </c>
      <c r="F267" s="28">
        <f>'15 Administration og arbejdspla'!E6</f>
        <v>0</v>
      </c>
      <c r="G267" s="28">
        <f>'15 Administration og arbejdspla'!F6</f>
        <v>0</v>
      </c>
      <c r="H267" s="28">
        <f>'15 Administration og arbejdspla'!G6</f>
        <v>0</v>
      </c>
      <c r="I267" s="28">
        <f>'15 Administration og arbejdspla'!H6</f>
        <v>0</v>
      </c>
      <c r="J267" s="28">
        <f>'15 Administration og arbejdspla'!I6</f>
        <v>0</v>
      </c>
      <c r="K267" s="28">
        <f>'15 Administration og arbejdspla'!J6</f>
        <v>0</v>
      </c>
      <c r="L267" s="28">
        <f>'15 Administration og arbejdspla'!K6</f>
        <v>0</v>
      </c>
      <c r="M267" s="28">
        <f>'15 Administration og arbejdspla'!L6</f>
        <v>0</v>
      </c>
      <c r="N267" s="28">
        <f>'15 Administration og arbejdspla'!M6</f>
        <v>0</v>
      </c>
      <c r="O267" s="28">
        <f>'15 Administration og arbejdspla'!N6</f>
        <v>0</v>
      </c>
      <c r="P267" s="28">
        <f>'15 Administration og arbejdspla'!O6</f>
        <v>0</v>
      </c>
      <c r="Q267" s="28">
        <f>'15 Administration og arbejdspla'!P6</f>
        <v>0</v>
      </c>
      <c r="R267" s="28">
        <f>'15 Administration og arbejdspla'!Q6</f>
        <v>0</v>
      </c>
      <c r="S267" s="28">
        <f>'15 Administration og arbejdspla'!R6</f>
        <v>0</v>
      </c>
      <c r="T267" s="51">
        <f>'15 Administration og arbejdspla'!S6</f>
        <v>0</v>
      </c>
      <c r="U267" s="52">
        <f>'15 Administration og arbejdspla'!T6</f>
        <v>0</v>
      </c>
      <c r="V267" s="28" t="s">
        <v>98</v>
      </c>
      <c r="W267" s="28" t="s">
        <v>98</v>
      </c>
      <c r="X267" s="28" t="s">
        <v>98</v>
      </c>
    </row>
    <row r="268" spans="1:24" s="37" customFormat="1" x14ac:dyDescent="0.25">
      <c r="A268" s="37">
        <v>5</v>
      </c>
      <c r="B268" s="37" t="s">
        <v>602</v>
      </c>
      <c r="C268" s="37" t="s">
        <v>603</v>
      </c>
      <c r="D268" s="38" t="str">
        <f>'15 Administration og arbejdspla'!C7</f>
        <v>SUM</v>
      </c>
      <c r="E268" s="37">
        <f>'15 Administration og arbejdspla'!D7</f>
        <v>0</v>
      </c>
      <c r="F268" s="37">
        <f>'15 Administration og arbejdspla'!E7</f>
        <v>0</v>
      </c>
      <c r="G268" s="37">
        <f>'15 Administration og arbejdspla'!F7</f>
        <v>0</v>
      </c>
      <c r="H268" s="37">
        <f>'15 Administration og arbejdspla'!G7</f>
        <v>0</v>
      </c>
      <c r="I268" s="37">
        <f>'15 Administration og arbejdspla'!H7</f>
        <v>0</v>
      </c>
      <c r="J268" s="37">
        <f>'15 Administration og arbejdspla'!I7</f>
        <v>0</v>
      </c>
      <c r="K268" s="37">
        <f>'15 Administration og arbejdspla'!J7</f>
        <v>0</v>
      </c>
      <c r="L268" s="37">
        <f>'15 Administration og arbejdspla'!K7</f>
        <v>0</v>
      </c>
      <c r="M268" s="37">
        <f>'15 Administration og arbejdspla'!L7</f>
        <v>0</v>
      </c>
      <c r="N268" s="37">
        <f>'15 Administration og arbejdspla'!M7</f>
        <v>0</v>
      </c>
      <c r="O268" s="37">
        <f>'15 Administration og arbejdspla'!N7</f>
        <v>0</v>
      </c>
      <c r="P268" s="37">
        <f>'15 Administration og arbejdspla'!O7</f>
        <v>0</v>
      </c>
      <c r="Q268" s="37">
        <f>'15 Administration og arbejdspla'!P7</f>
        <v>0</v>
      </c>
      <c r="R268" s="37">
        <f>'15 Administration og arbejdspla'!Q7</f>
        <v>0</v>
      </c>
      <c r="S268" s="37">
        <f>'15 Administration og arbejdspla'!R7</f>
        <v>0</v>
      </c>
      <c r="T268" s="39">
        <f>'15 Administration og arbejdspla'!S7</f>
        <v>0</v>
      </c>
      <c r="U268" s="40">
        <f>'15 Administration og arbejdspla'!T7</f>
        <v>0</v>
      </c>
      <c r="V268" s="37" t="s">
        <v>98</v>
      </c>
      <c r="W268" s="37" t="s">
        <v>98</v>
      </c>
      <c r="X268" s="37" t="s">
        <v>98</v>
      </c>
    </row>
    <row r="269" spans="1:24" s="37" customFormat="1" x14ac:dyDescent="0.25">
      <c r="A269" s="37">
        <v>6</v>
      </c>
      <c r="B269" s="37" t="s">
        <v>604</v>
      </c>
      <c r="C269" s="37" t="s">
        <v>605</v>
      </c>
      <c r="D269" s="38" t="str">
        <f>'15 Administration og arbejdspla'!C8</f>
        <v>M3</v>
      </c>
      <c r="E269" s="37">
        <f>'15 Administration og arbejdspla'!D8</f>
        <v>22250</v>
      </c>
      <c r="F269" s="37">
        <f>'15 Administration og arbejdspla'!E8</f>
        <v>0</v>
      </c>
      <c r="G269" s="37">
        <f>'15 Administration og arbejdspla'!F8</f>
        <v>0</v>
      </c>
      <c r="H269" s="37">
        <f>'15 Administration og arbejdspla'!G8</f>
        <v>0</v>
      </c>
      <c r="I269" s="37">
        <f>'15 Administration og arbejdspla'!H8</f>
        <v>0</v>
      </c>
      <c r="J269" s="37">
        <f>'15 Administration og arbejdspla'!I8</f>
        <v>0</v>
      </c>
      <c r="K269" s="37">
        <f>'15 Administration og arbejdspla'!J8</f>
        <v>0</v>
      </c>
      <c r="L269" s="37">
        <f>'15 Administration og arbejdspla'!K8</f>
        <v>0</v>
      </c>
      <c r="M269" s="37">
        <f>'15 Administration og arbejdspla'!L8</f>
        <v>0</v>
      </c>
      <c r="N269" s="37">
        <f>'15 Administration og arbejdspla'!M8</f>
        <v>0</v>
      </c>
      <c r="O269" s="37">
        <f>'15 Administration og arbejdspla'!N8</f>
        <v>0</v>
      </c>
      <c r="P269" s="37">
        <f>'15 Administration og arbejdspla'!O8</f>
        <v>0</v>
      </c>
      <c r="Q269" s="37">
        <f>'15 Administration og arbejdspla'!P8</f>
        <v>0</v>
      </c>
      <c r="R269" s="37">
        <f>'15 Administration og arbejdspla'!Q8</f>
        <v>0</v>
      </c>
      <c r="S269" s="37">
        <f>'15 Administration og arbejdspla'!R8</f>
        <v>22250</v>
      </c>
      <c r="T269" s="39">
        <f>'15 Administration og arbejdspla'!S8</f>
        <v>626</v>
      </c>
      <c r="U269" s="40">
        <f>'15 Administration og arbejdspla'!T8</f>
        <v>13928500</v>
      </c>
      <c r="V269" s="37" t="s">
        <v>98</v>
      </c>
      <c r="W269" s="37" t="s">
        <v>822</v>
      </c>
      <c r="X269" s="37" t="s">
        <v>98</v>
      </c>
    </row>
    <row r="270" spans="1:24" s="37" customFormat="1" x14ac:dyDescent="0.25">
      <c r="A270" s="37">
        <v>6</v>
      </c>
      <c r="B270" s="37" t="s">
        <v>606</v>
      </c>
      <c r="C270" s="37" t="s">
        <v>607</v>
      </c>
      <c r="D270" s="38" t="str">
        <f>'15 Administration og arbejdspla'!C9</f>
        <v>M2</v>
      </c>
      <c r="E270" s="37">
        <f>'15 Administration og arbejdspla'!D9</f>
        <v>5500</v>
      </c>
      <c r="F270" s="37">
        <f>'15 Administration og arbejdspla'!E9</f>
        <v>0</v>
      </c>
      <c r="G270" s="37">
        <f>'15 Administration og arbejdspla'!F9</f>
        <v>0</v>
      </c>
      <c r="H270" s="37">
        <f>'15 Administration og arbejdspla'!G9</f>
        <v>0</v>
      </c>
      <c r="I270" s="37">
        <f>'15 Administration og arbejdspla'!H9</f>
        <v>0</v>
      </c>
      <c r="J270" s="37">
        <f>'15 Administration og arbejdspla'!I9</f>
        <v>0</v>
      </c>
      <c r="K270" s="37">
        <f>'15 Administration og arbejdspla'!J9</f>
        <v>0</v>
      </c>
      <c r="L270" s="37">
        <f>'15 Administration og arbejdspla'!K9</f>
        <v>0</v>
      </c>
      <c r="M270" s="37">
        <f>'15 Administration og arbejdspla'!L9</f>
        <v>0</v>
      </c>
      <c r="N270" s="37">
        <f>'15 Administration og arbejdspla'!M9</f>
        <v>0</v>
      </c>
      <c r="O270" s="37">
        <f>'15 Administration og arbejdspla'!N9</f>
        <v>0</v>
      </c>
      <c r="P270" s="37">
        <f>'15 Administration og arbejdspla'!O9</f>
        <v>0</v>
      </c>
      <c r="Q270" s="37">
        <f>'15 Administration og arbejdspla'!P9</f>
        <v>0</v>
      </c>
      <c r="R270" s="37">
        <f>'15 Administration og arbejdspla'!Q9</f>
        <v>0</v>
      </c>
      <c r="S270" s="37">
        <f>'15 Administration og arbejdspla'!R9</f>
        <v>5500</v>
      </c>
      <c r="T270" s="39">
        <f>'15 Administration og arbejdspla'!S9</f>
        <v>152</v>
      </c>
      <c r="U270" s="40">
        <f>'15 Administration og arbejdspla'!T9</f>
        <v>836000</v>
      </c>
      <c r="V270" s="37" t="s">
        <v>98</v>
      </c>
      <c r="W270" s="37" t="s">
        <v>822</v>
      </c>
      <c r="X270" s="37" t="s">
        <v>98</v>
      </c>
    </row>
    <row r="271" spans="1:24" s="37" customFormat="1" x14ac:dyDescent="0.25">
      <c r="A271" s="37">
        <v>6</v>
      </c>
      <c r="B271" s="37" t="s">
        <v>608</v>
      </c>
      <c r="C271" s="37" t="s">
        <v>609</v>
      </c>
      <c r="D271" s="38" t="str">
        <f>'15 Administration og arbejdspla'!C10</f>
        <v>SUM</v>
      </c>
      <c r="E271" s="37">
        <f>'15 Administration og arbejdspla'!D10</f>
        <v>1</v>
      </c>
      <c r="F271" s="37">
        <f>'15 Administration og arbejdspla'!E10</f>
        <v>0</v>
      </c>
      <c r="G271" s="37">
        <f>'15 Administration og arbejdspla'!F10</f>
        <v>0</v>
      </c>
      <c r="H271" s="37">
        <f>'15 Administration og arbejdspla'!G10</f>
        <v>0</v>
      </c>
      <c r="I271" s="37">
        <f>'15 Administration og arbejdspla'!H10</f>
        <v>0</v>
      </c>
      <c r="J271" s="37">
        <f>'15 Administration og arbejdspla'!I10</f>
        <v>0</v>
      </c>
      <c r="K271" s="37">
        <f>'15 Administration og arbejdspla'!J10</f>
        <v>0</v>
      </c>
      <c r="L271" s="37">
        <f>'15 Administration og arbejdspla'!K10</f>
        <v>0</v>
      </c>
      <c r="M271" s="37">
        <f>'15 Administration og arbejdspla'!L10</f>
        <v>0</v>
      </c>
      <c r="N271" s="37">
        <f>'15 Administration og arbejdspla'!M10</f>
        <v>0</v>
      </c>
      <c r="O271" s="37">
        <f>'15 Administration og arbejdspla'!N10</f>
        <v>0</v>
      </c>
      <c r="P271" s="37">
        <f>'15 Administration og arbejdspla'!O10</f>
        <v>0</v>
      </c>
      <c r="Q271" s="37">
        <f>'15 Administration og arbejdspla'!P10</f>
        <v>0</v>
      </c>
      <c r="R271" s="37">
        <f>'15 Administration og arbejdspla'!Q10</f>
        <v>0</v>
      </c>
      <c r="S271" s="37">
        <f>'15 Administration og arbejdspla'!R10</f>
        <v>1</v>
      </c>
      <c r="T271" s="39">
        <f>'15 Administration og arbejdspla'!S10</f>
        <v>888505</v>
      </c>
      <c r="U271" s="40">
        <f>'15 Administration og arbejdspla'!T10</f>
        <v>888505</v>
      </c>
      <c r="V271" s="37" t="s">
        <v>98</v>
      </c>
      <c r="W271" s="37" t="s">
        <v>98</v>
      </c>
      <c r="X271" s="37" t="s">
        <v>98</v>
      </c>
    </row>
    <row r="272" spans="1:24" s="37" customFormat="1" x14ac:dyDescent="0.25">
      <c r="A272" s="37">
        <v>6</v>
      </c>
      <c r="B272" s="37" t="s">
        <v>610</v>
      </c>
      <c r="C272" s="37" t="s">
        <v>611</v>
      </c>
      <c r="D272" s="38" t="str">
        <f>'15 Administration og arbejdspla'!C11</f>
        <v>SUM</v>
      </c>
      <c r="E272" s="37">
        <f>'15 Administration og arbejdspla'!D11</f>
        <v>1</v>
      </c>
      <c r="F272" s="37">
        <f>'15 Administration og arbejdspla'!E11</f>
        <v>0</v>
      </c>
      <c r="G272" s="37">
        <f>'15 Administration og arbejdspla'!F11</f>
        <v>0</v>
      </c>
      <c r="H272" s="37">
        <f>'15 Administration og arbejdspla'!G11</f>
        <v>0</v>
      </c>
      <c r="I272" s="37">
        <f>'15 Administration og arbejdspla'!H11</f>
        <v>0</v>
      </c>
      <c r="J272" s="37">
        <f>'15 Administration og arbejdspla'!I11</f>
        <v>0</v>
      </c>
      <c r="K272" s="37">
        <f>'15 Administration og arbejdspla'!J11</f>
        <v>0</v>
      </c>
      <c r="L272" s="37">
        <f>'15 Administration og arbejdspla'!K11</f>
        <v>0</v>
      </c>
      <c r="M272" s="37">
        <f>'15 Administration og arbejdspla'!L11</f>
        <v>0</v>
      </c>
      <c r="N272" s="37">
        <f>'15 Administration og arbejdspla'!M11</f>
        <v>0</v>
      </c>
      <c r="O272" s="37">
        <f>'15 Administration og arbejdspla'!N11</f>
        <v>0</v>
      </c>
      <c r="P272" s="37">
        <f>'15 Administration og arbejdspla'!O11</f>
        <v>0</v>
      </c>
      <c r="Q272" s="37">
        <f>'15 Administration og arbejdspla'!P11</f>
        <v>0</v>
      </c>
      <c r="R272" s="37">
        <f>'15 Administration og arbejdspla'!Q11</f>
        <v>0</v>
      </c>
      <c r="S272" s="37">
        <f>'15 Administration og arbejdspla'!R11</f>
        <v>1</v>
      </c>
      <c r="T272" s="39">
        <f>'15 Administration og arbejdspla'!S11</f>
        <v>390363</v>
      </c>
      <c r="U272" s="40">
        <f>'15 Administration og arbejdspla'!T11</f>
        <v>390363</v>
      </c>
      <c r="V272" s="37" t="s">
        <v>98</v>
      </c>
      <c r="W272" s="37" t="s">
        <v>98</v>
      </c>
      <c r="X272" s="37" t="s">
        <v>98</v>
      </c>
    </row>
    <row r="273" spans="1:24" s="37" customFormat="1" x14ac:dyDescent="0.25">
      <c r="A273" s="37">
        <v>6</v>
      </c>
      <c r="B273" s="37" t="s">
        <v>612</v>
      </c>
      <c r="C273" s="37" t="s">
        <v>613</v>
      </c>
      <c r="D273" s="38" t="str">
        <f>'15 Administration og arbejdspla'!C12</f>
        <v>SUM</v>
      </c>
      <c r="E273" s="37">
        <f>'15 Administration og arbejdspla'!D12</f>
        <v>1</v>
      </c>
      <c r="F273" s="37">
        <f>'15 Administration og arbejdspla'!E12</f>
        <v>0</v>
      </c>
      <c r="G273" s="37">
        <f>'15 Administration og arbejdspla'!F12</f>
        <v>0</v>
      </c>
      <c r="H273" s="37">
        <f>'15 Administration og arbejdspla'!G12</f>
        <v>0</v>
      </c>
      <c r="I273" s="37">
        <f>'15 Administration og arbejdspla'!H12</f>
        <v>0</v>
      </c>
      <c r="J273" s="37">
        <f>'15 Administration og arbejdspla'!I12</f>
        <v>0</v>
      </c>
      <c r="K273" s="37">
        <f>'15 Administration og arbejdspla'!J12</f>
        <v>0</v>
      </c>
      <c r="L273" s="37">
        <f>'15 Administration og arbejdspla'!K12</f>
        <v>0</v>
      </c>
      <c r="M273" s="37">
        <f>'15 Administration og arbejdspla'!L12</f>
        <v>0</v>
      </c>
      <c r="N273" s="37">
        <f>'15 Administration og arbejdspla'!M12</f>
        <v>0</v>
      </c>
      <c r="O273" s="37">
        <f>'15 Administration og arbejdspla'!N12</f>
        <v>0</v>
      </c>
      <c r="P273" s="37">
        <f>'15 Administration og arbejdspla'!O12</f>
        <v>0</v>
      </c>
      <c r="Q273" s="37">
        <f>'15 Administration og arbejdspla'!P12</f>
        <v>0</v>
      </c>
      <c r="R273" s="37">
        <f>'15 Administration og arbejdspla'!Q12</f>
        <v>0</v>
      </c>
      <c r="S273" s="37">
        <f>'15 Administration og arbejdspla'!R12</f>
        <v>1</v>
      </c>
      <c r="T273" s="39">
        <f>'15 Administration og arbejdspla'!S12</f>
        <v>987493</v>
      </c>
      <c r="U273" s="40">
        <f>'15 Administration og arbejdspla'!T12</f>
        <v>987493</v>
      </c>
      <c r="V273" s="37" t="s">
        <v>98</v>
      </c>
      <c r="W273" s="37" t="s">
        <v>98</v>
      </c>
      <c r="X273" s="37" t="s">
        <v>98</v>
      </c>
    </row>
    <row r="274" spans="1:24" s="37" customFormat="1" x14ac:dyDescent="0.25">
      <c r="A274" s="37">
        <v>6</v>
      </c>
      <c r="B274" s="37" t="s">
        <v>614</v>
      </c>
      <c r="C274" s="37" t="s">
        <v>615</v>
      </c>
      <c r="D274" s="38" t="str">
        <f>'15 Administration og arbejdspla'!C13</f>
        <v>SUM</v>
      </c>
      <c r="E274" s="37">
        <f>'15 Administration og arbejdspla'!D13</f>
        <v>1</v>
      </c>
      <c r="F274" s="37">
        <f>'15 Administration og arbejdspla'!E13</f>
        <v>0</v>
      </c>
      <c r="G274" s="37">
        <f>'15 Administration og arbejdspla'!F13</f>
        <v>0</v>
      </c>
      <c r="H274" s="37">
        <f>'15 Administration og arbejdspla'!G13</f>
        <v>0</v>
      </c>
      <c r="I274" s="37">
        <f>'15 Administration og arbejdspla'!H13</f>
        <v>0</v>
      </c>
      <c r="J274" s="37">
        <f>'15 Administration og arbejdspla'!I13</f>
        <v>0</v>
      </c>
      <c r="K274" s="37">
        <f>'15 Administration og arbejdspla'!J13</f>
        <v>0</v>
      </c>
      <c r="L274" s="37">
        <f>'15 Administration og arbejdspla'!K13</f>
        <v>0</v>
      </c>
      <c r="M274" s="37">
        <f>'15 Administration og arbejdspla'!L13</f>
        <v>0</v>
      </c>
      <c r="N274" s="37">
        <f>'15 Administration og arbejdspla'!M13</f>
        <v>0</v>
      </c>
      <c r="O274" s="37">
        <f>'15 Administration og arbejdspla'!N13</f>
        <v>0</v>
      </c>
      <c r="P274" s="37">
        <f>'15 Administration og arbejdspla'!O13</f>
        <v>0</v>
      </c>
      <c r="Q274" s="37">
        <f>'15 Administration og arbejdspla'!P13</f>
        <v>0</v>
      </c>
      <c r="R274" s="37">
        <f>'15 Administration og arbejdspla'!Q13</f>
        <v>0</v>
      </c>
      <c r="S274" s="37">
        <f>'15 Administration og arbejdspla'!R13</f>
        <v>1</v>
      </c>
      <c r="T274" s="39">
        <f>'15 Administration og arbejdspla'!S13</f>
        <v>934568</v>
      </c>
      <c r="U274" s="40">
        <f>'15 Administration og arbejdspla'!T13</f>
        <v>934568</v>
      </c>
      <c r="V274" s="37" t="s">
        <v>98</v>
      </c>
      <c r="W274" s="37" t="s">
        <v>98</v>
      </c>
      <c r="X274" s="37" t="s">
        <v>98</v>
      </c>
    </row>
    <row r="275" spans="1:24" s="37" customFormat="1" x14ac:dyDescent="0.25">
      <c r="A275" s="37">
        <v>6</v>
      </c>
      <c r="B275" s="37" t="s">
        <v>616</v>
      </c>
      <c r="C275" s="37" t="s">
        <v>617</v>
      </c>
      <c r="D275" s="38" t="str">
        <f>'15 Administration og arbejdspla'!C14</f>
        <v>SUM</v>
      </c>
      <c r="E275" s="37">
        <f>'15 Administration og arbejdspla'!D14</f>
        <v>1</v>
      </c>
      <c r="F275" s="37">
        <f>'15 Administration og arbejdspla'!E14</f>
        <v>0</v>
      </c>
      <c r="G275" s="37">
        <f>'15 Administration og arbejdspla'!F14</f>
        <v>0</v>
      </c>
      <c r="H275" s="37">
        <f>'15 Administration og arbejdspla'!G14</f>
        <v>0</v>
      </c>
      <c r="I275" s="37">
        <f>'15 Administration og arbejdspla'!H14</f>
        <v>0</v>
      </c>
      <c r="J275" s="37">
        <f>'15 Administration og arbejdspla'!I14</f>
        <v>0</v>
      </c>
      <c r="K275" s="37">
        <f>'15 Administration og arbejdspla'!J14</f>
        <v>0</v>
      </c>
      <c r="L275" s="37">
        <f>'15 Administration og arbejdspla'!K14</f>
        <v>0</v>
      </c>
      <c r="M275" s="37">
        <f>'15 Administration og arbejdspla'!L14</f>
        <v>0</v>
      </c>
      <c r="N275" s="37">
        <f>'15 Administration og arbejdspla'!M14</f>
        <v>0</v>
      </c>
      <c r="O275" s="37">
        <f>'15 Administration og arbejdspla'!N14</f>
        <v>0</v>
      </c>
      <c r="P275" s="37">
        <f>'15 Administration og arbejdspla'!O14</f>
        <v>0</v>
      </c>
      <c r="Q275" s="37">
        <f>'15 Administration og arbejdspla'!P14</f>
        <v>0</v>
      </c>
      <c r="R275" s="37">
        <f>'15 Administration og arbejdspla'!Q14</f>
        <v>0</v>
      </c>
      <c r="S275" s="37">
        <f>'15 Administration og arbejdspla'!R14</f>
        <v>1</v>
      </c>
      <c r="T275" s="39">
        <f>'15 Administration og arbejdspla'!S14</f>
        <v>54803</v>
      </c>
      <c r="U275" s="40">
        <f>'15 Administration og arbejdspla'!T14</f>
        <v>54803</v>
      </c>
      <c r="V275" s="37" t="s">
        <v>98</v>
      </c>
      <c r="W275" s="37" t="s">
        <v>98</v>
      </c>
      <c r="X275" s="37" t="s">
        <v>98</v>
      </c>
    </row>
    <row r="276" spans="1:24" s="37" customFormat="1" x14ac:dyDescent="0.25">
      <c r="A276" s="37">
        <v>6</v>
      </c>
      <c r="B276" s="37" t="s">
        <v>618</v>
      </c>
      <c r="C276" s="37" t="s">
        <v>619</v>
      </c>
      <c r="D276" s="38" t="str">
        <f>'15 Administration og arbejdspla'!C15</f>
        <v>SUM</v>
      </c>
      <c r="E276" s="37">
        <f>'15 Administration og arbejdspla'!D15</f>
        <v>1</v>
      </c>
      <c r="F276" s="37">
        <f>'15 Administration og arbejdspla'!E15</f>
        <v>0</v>
      </c>
      <c r="G276" s="37">
        <f>'15 Administration og arbejdspla'!F15</f>
        <v>0</v>
      </c>
      <c r="H276" s="37">
        <f>'15 Administration og arbejdspla'!G15</f>
        <v>0</v>
      </c>
      <c r="I276" s="37">
        <f>'15 Administration og arbejdspla'!H15</f>
        <v>0</v>
      </c>
      <c r="J276" s="37">
        <f>'15 Administration og arbejdspla'!I15</f>
        <v>0</v>
      </c>
      <c r="K276" s="37">
        <f>'15 Administration og arbejdspla'!J15</f>
        <v>0</v>
      </c>
      <c r="L276" s="37">
        <f>'15 Administration og arbejdspla'!K15</f>
        <v>0</v>
      </c>
      <c r="M276" s="37">
        <f>'15 Administration og arbejdspla'!L15</f>
        <v>0</v>
      </c>
      <c r="N276" s="37">
        <f>'15 Administration og arbejdspla'!M15</f>
        <v>0</v>
      </c>
      <c r="O276" s="37">
        <f>'15 Administration og arbejdspla'!N15</f>
        <v>0</v>
      </c>
      <c r="P276" s="37">
        <f>'15 Administration og arbejdspla'!O15</f>
        <v>0</v>
      </c>
      <c r="Q276" s="37">
        <f>'15 Administration og arbejdspla'!P15</f>
        <v>0</v>
      </c>
      <c r="R276" s="37">
        <f>'15 Administration og arbejdspla'!Q15</f>
        <v>0</v>
      </c>
      <c r="S276" s="37">
        <f>'15 Administration og arbejdspla'!R15</f>
        <v>1</v>
      </c>
      <c r="T276" s="39">
        <f>'15 Administration og arbejdspla'!S15</f>
        <v>53217</v>
      </c>
      <c r="U276" s="40">
        <f>'15 Administration og arbejdspla'!T15</f>
        <v>53217</v>
      </c>
      <c r="V276" s="37" t="s">
        <v>98</v>
      </c>
      <c r="W276" s="37" t="s">
        <v>98</v>
      </c>
      <c r="X276" s="37" t="s">
        <v>98</v>
      </c>
    </row>
    <row r="277" spans="1:24" s="37" customFormat="1" x14ac:dyDescent="0.25">
      <c r="A277" s="37">
        <v>6</v>
      </c>
      <c r="B277" s="37" t="s">
        <v>620</v>
      </c>
      <c r="C277" s="37" t="s">
        <v>621</v>
      </c>
      <c r="D277" s="38" t="str">
        <f>'15 Administration og arbejdspla'!C16</f>
        <v>SUM</v>
      </c>
      <c r="E277" s="37">
        <f>'15 Administration og arbejdspla'!D16</f>
        <v>1</v>
      </c>
      <c r="F277" s="37">
        <f>'15 Administration og arbejdspla'!E16</f>
        <v>0</v>
      </c>
      <c r="G277" s="37">
        <f>'15 Administration og arbejdspla'!F16</f>
        <v>0</v>
      </c>
      <c r="H277" s="37">
        <f>'15 Administration og arbejdspla'!G16</f>
        <v>0</v>
      </c>
      <c r="I277" s="37">
        <f>'15 Administration og arbejdspla'!H16</f>
        <v>0</v>
      </c>
      <c r="J277" s="37">
        <f>'15 Administration og arbejdspla'!I16</f>
        <v>0</v>
      </c>
      <c r="K277" s="37">
        <f>'15 Administration og arbejdspla'!J16</f>
        <v>0</v>
      </c>
      <c r="L277" s="37">
        <f>'15 Administration og arbejdspla'!K16</f>
        <v>0</v>
      </c>
      <c r="M277" s="37">
        <f>'15 Administration og arbejdspla'!L16</f>
        <v>0</v>
      </c>
      <c r="N277" s="37">
        <f>'15 Administration og arbejdspla'!M16</f>
        <v>0</v>
      </c>
      <c r="O277" s="37">
        <f>'15 Administration og arbejdspla'!N16</f>
        <v>0</v>
      </c>
      <c r="P277" s="37">
        <f>'15 Administration og arbejdspla'!O16</f>
        <v>0</v>
      </c>
      <c r="Q277" s="37">
        <f>'15 Administration og arbejdspla'!P16</f>
        <v>0</v>
      </c>
      <c r="R277" s="37">
        <f>'15 Administration og arbejdspla'!Q16</f>
        <v>0</v>
      </c>
      <c r="S277" s="37">
        <f>'15 Administration og arbejdspla'!R16</f>
        <v>1</v>
      </c>
      <c r="T277" s="39">
        <f>'15 Administration og arbejdspla'!S16</f>
        <v>651267</v>
      </c>
      <c r="U277" s="40">
        <f>'15 Administration og arbejdspla'!T16</f>
        <v>651267</v>
      </c>
      <c r="V277" s="37" t="s">
        <v>98</v>
      </c>
      <c r="W277" s="37" t="s">
        <v>98</v>
      </c>
      <c r="X277" s="37" t="s">
        <v>98</v>
      </c>
    </row>
    <row r="278" spans="1:24" s="37" customFormat="1" x14ac:dyDescent="0.25">
      <c r="A278" s="37">
        <v>6</v>
      </c>
      <c r="B278" s="37" t="s">
        <v>622</v>
      </c>
      <c r="C278" s="37" t="s">
        <v>623</v>
      </c>
      <c r="D278" s="38" t="str">
        <f>'15 Administration og arbejdspla'!C17</f>
        <v>SUM</v>
      </c>
      <c r="E278" s="37">
        <f>'15 Administration og arbejdspla'!D17</f>
        <v>1</v>
      </c>
      <c r="F278" s="37">
        <f>'15 Administration og arbejdspla'!E17</f>
        <v>0</v>
      </c>
      <c r="G278" s="37">
        <f>'15 Administration og arbejdspla'!F17</f>
        <v>0</v>
      </c>
      <c r="H278" s="37">
        <f>'15 Administration og arbejdspla'!G17</f>
        <v>0</v>
      </c>
      <c r="I278" s="37">
        <f>'15 Administration og arbejdspla'!H17</f>
        <v>0</v>
      </c>
      <c r="J278" s="37">
        <f>'15 Administration og arbejdspla'!I17</f>
        <v>0</v>
      </c>
      <c r="K278" s="37">
        <f>'15 Administration og arbejdspla'!J17</f>
        <v>0</v>
      </c>
      <c r="L278" s="37">
        <f>'15 Administration og arbejdspla'!K17</f>
        <v>0</v>
      </c>
      <c r="M278" s="37">
        <f>'15 Administration og arbejdspla'!L17</f>
        <v>0</v>
      </c>
      <c r="N278" s="37">
        <f>'15 Administration og arbejdspla'!M17</f>
        <v>0</v>
      </c>
      <c r="O278" s="37">
        <f>'15 Administration og arbejdspla'!N17</f>
        <v>0</v>
      </c>
      <c r="P278" s="37">
        <f>'15 Administration og arbejdspla'!O17</f>
        <v>0</v>
      </c>
      <c r="Q278" s="37">
        <f>'15 Administration og arbejdspla'!P17</f>
        <v>0</v>
      </c>
      <c r="R278" s="37">
        <f>'15 Administration og arbejdspla'!Q17</f>
        <v>0</v>
      </c>
      <c r="S278" s="37">
        <f>'15 Administration og arbejdspla'!R17</f>
        <v>1</v>
      </c>
      <c r="T278" s="39">
        <f>'15 Administration og arbejdspla'!S17</f>
        <v>54803</v>
      </c>
      <c r="U278" s="40">
        <f>'15 Administration og arbejdspla'!T17</f>
        <v>54803</v>
      </c>
      <c r="V278" s="37" t="s">
        <v>98</v>
      </c>
      <c r="W278" s="37" t="s">
        <v>98</v>
      </c>
      <c r="X278" s="37" t="s">
        <v>98</v>
      </c>
    </row>
    <row r="279" spans="1:24" s="37" customFormat="1" x14ac:dyDescent="0.25">
      <c r="A279" s="37">
        <v>6</v>
      </c>
      <c r="B279" s="37" t="s">
        <v>624</v>
      </c>
      <c r="C279" s="37" t="s">
        <v>625</v>
      </c>
      <c r="D279" s="38" t="str">
        <f>'15 Administration og arbejdspla'!C18</f>
        <v>SUM</v>
      </c>
      <c r="E279" s="37">
        <f>'15 Administration og arbejdspla'!D18</f>
        <v>1</v>
      </c>
      <c r="F279" s="37">
        <f>'15 Administration og arbejdspla'!E18</f>
        <v>0</v>
      </c>
      <c r="G279" s="37">
        <f>'15 Administration og arbejdspla'!F18</f>
        <v>0</v>
      </c>
      <c r="H279" s="37">
        <f>'15 Administration og arbejdspla'!G18</f>
        <v>0</v>
      </c>
      <c r="I279" s="37">
        <f>'15 Administration og arbejdspla'!H18</f>
        <v>0</v>
      </c>
      <c r="J279" s="37">
        <f>'15 Administration og arbejdspla'!I18</f>
        <v>0</v>
      </c>
      <c r="K279" s="37">
        <f>'15 Administration og arbejdspla'!J18</f>
        <v>0</v>
      </c>
      <c r="L279" s="37">
        <f>'15 Administration og arbejdspla'!K18</f>
        <v>0</v>
      </c>
      <c r="M279" s="37">
        <f>'15 Administration og arbejdspla'!L18</f>
        <v>0</v>
      </c>
      <c r="N279" s="37">
        <f>'15 Administration og arbejdspla'!M18</f>
        <v>0</v>
      </c>
      <c r="O279" s="37">
        <f>'15 Administration og arbejdspla'!N18</f>
        <v>0</v>
      </c>
      <c r="P279" s="37">
        <f>'15 Administration og arbejdspla'!O18</f>
        <v>0</v>
      </c>
      <c r="Q279" s="37">
        <f>'15 Administration og arbejdspla'!P18</f>
        <v>0</v>
      </c>
      <c r="R279" s="37">
        <f>'15 Administration og arbejdspla'!Q18</f>
        <v>0</v>
      </c>
      <c r="S279" s="37">
        <f>'15 Administration og arbejdspla'!R18</f>
        <v>1</v>
      </c>
      <c r="T279" s="39">
        <f>'15 Administration og arbejdspla'!S18</f>
        <v>54803</v>
      </c>
      <c r="U279" s="40">
        <f>'15 Administration og arbejdspla'!T18</f>
        <v>54803</v>
      </c>
      <c r="V279" s="37" t="s">
        <v>98</v>
      </c>
      <c r="W279" s="37" t="s">
        <v>98</v>
      </c>
      <c r="X279" s="37" t="s">
        <v>98</v>
      </c>
    </row>
    <row r="280" spans="1:24" s="37" customFormat="1" x14ac:dyDescent="0.25">
      <c r="A280" s="37">
        <v>6</v>
      </c>
      <c r="B280" s="37" t="s">
        <v>626</v>
      </c>
      <c r="C280" s="37" t="s">
        <v>627</v>
      </c>
      <c r="D280" s="38" t="str">
        <f>'15 Administration og arbejdspla'!C19</f>
        <v>SUM</v>
      </c>
      <c r="E280" s="37">
        <f>'15 Administration og arbejdspla'!D19</f>
        <v>1</v>
      </c>
      <c r="F280" s="37">
        <f>'15 Administration og arbejdspla'!E19</f>
        <v>0</v>
      </c>
      <c r="G280" s="37">
        <f>'15 Administration og arbejdspla'!F19</f>
        <v>0</v>
      </c>
      <c r="H280" s="37">
        <f>'15 Administration og arbejdspla'!G19</f>
        <v>0</v>
      </c>
      <c r="I280" s="37">
        <f>'15 Administration og arbejdspla'!H19</f>
        <v>0</v>
      </c>
      <c r="J280" s="37">
        <f>'15 Administration og arbejdspla'!I19</f>
        <v>0</v>
      </c>
      <c r="K280" s="37">
        <f>'15 Administration og arbejdspla'!J19</f>
        <v>0</v>
      </c>
      <c r="L280" s="37">
        <f>'15 Administration og arbejdspla'!K19</f>
        <v>0</v>
      </c>
      <c r="M280" s="37">
        <f>'15 Administration og arbejdspla'!L19</f>
        <v>0</v>
      </c>
      <c r="N280" s="37">
        <f>'15 Administration og arbejdspla'!M19</f>
        <v>0</v>
      </c>
      <c r="O280" s="37">
        <f>'15 Administration og arbejdspla'!N19</f>
        <v>0</v>
      </c>
      <c r="P280" s="37">
        <f>'15 Administration og arbejdspla'!O19</f>
        <v>0</v>
      </c>
      <c r="Q280" s="37">
        <f>'15 Administration og arbejdspla'!P19</f>
        <v>0</v>
      </c>
      <c r="R280" s="37">
        <f>'15 Administration og arbejdspla'!Q19</f>
        <v>0</v>
      </c>
      <c r="S280" s="37">
        <f>'15 Administration og arbejdspla'!R19</f>
        <v>1</v>
      </c>
      <c r="T280" s="39">
        <f>'15 Administration og arbejdspla'!S19</f>
        <v>486936</v>
      </c>
      <c r="U280" s="40">
        <f>'15 Administration og arbejdspla'!T19</f>
        <v>486936</v>
      </c>
      <c r="V280" s="37" t="s">
        <v>98</v>
      </c>
      <c r="W280" s="37" t="s">
        <v>98</v>
      </c>
      <c r="X280" s="37" t="s">
        <v>98</v>
      </c>
    </row>
    <row r="281" spans="1:24" s="37" customFormat="1" x14ac:dyDescent="0.25">
      <c r="A281" s="37">
        <v>6</v>
      </c>
      <c r="B281" s="37" t="s">
        <v>628</v>
      </c>
      <c r="C281" s="37" t="s">
        <v>629</v>
      </c>
      <c r="D281" s="38" t="str">
        <f>'15 Administration og arbejdspla'!C20</f>
        <v>SUM</v>
      </c>
      <c r="E281" s="37">
        <f>'15 Administration og arbejdspla'!D20</f>
        <v>1</v>
      </c>
      <c r="F281" s="37">
        <f>'15 Administration og arbejdspla'!E20</f>
        <v>0</v>
      </c>
      <c r="G281" s="37">
        <f>'15 Administration og arbejdspla'!F20</f>
        <v>0</v>
      </c>
      <c r="H281" s="37">
        <f>'15 Administration og arbejdspla'!G20</f>
        <v>0</v>
      </c>
      <c r="I281" s="37">
        <f>'15 Administration og arbejdspla'!H20</f>
        <v>0</v>
      </c>
      <c r="J281" s="37">
        <f>'15 Administration og arbejdspla'!I20</f>
        <v>0</v>
      </c>
      <c r="K281" s="37">
        <f>'15 Administration og arbejdspla'!J20</f>
        <v>0</v>
      </c>
      <c r="L281" s="37">
        <f>'15 Administration og arbejdspla'!K20</f>
        <v>0</v>
      </c>
      <c r="M281" s="37">
        <f>'15 Administration og arbejdspla'!L20</f>
        <v>0</v>
      </c>
      <c r="N281" s="37">
        <f>'15 Administration og arbejdspla'!M20</f>
        <v>0</v>
      </c>
      <c r="O281" s="37">
        <f>'15 Administration og arbejdspla'!N20</f>
        <v>0</v>
      </c>
      <c r="P281" s="37">
        <f>'15 Administration og arbejdspla'!O20</f>
        <v>0</v>
      </c>
      <c r="Q281" s="37">
        <f>'15 Administration og arbejdspla'!P20</f>
        <v>0</v>
      </c>
      <c r="R281" s="37">
        <f>'15 Administration og arbejdspla'!Q20</f>
        <v>0</v>
      </c>
      <c r="S281" s="37">
        <f>'15 Administration og arbejdspla'!R20</f>
        <v>1</v>
      </c>
      <c r="T281" s="39">
        <f>'15 Administration og arbejdspla'!S20</f>
        <v>152472</v>
      </c>
      <c r="U281" s="40">
        <f>'15 Administration og arbejdspla'!T20</f>
        <v>152472</v>
      </c>
      <c r="V281" s="37" t="s">
        <v>98</v>
      </c>
      <c r="W281" s="37" t="s">
        <v>98</v>
      </c>
      <c r="X281" s="37" t="s">
        <v>98</v>
      </c>
    </row>
    <row r="282" spans="1:24" s="37" customFormat="1" x14ac:dyDescent="0.25">
      <c r="A282" s="37">
        <v>6</v>
      </c>
      <c r="B282" s="37" t="s">
        <v>630</v>
      </c>
      <c r="C282" s="37" t="s">
        <v>631</v>
      </c>
      <c r="D282" s="38" t="str">
        <f>'15 Administration og arbejdspla'!C21</f>
        <v>SUM</v>
      </c>
      <c r="E282" s="37">
        <f>'15 Administration og arbejdspla'!D21</f>
        <v>1</v>
      </c>
      <c r="F282" s="37">
        <f>'15 Administration og arbejdspla'!E21</f>
        <v>0</v>
      </c>
      <c r="G282" s="37">
        <f>'15 Administration og arbejdspla'!F21</f>
        <v>0</v>
      </c>
      <c r="H282" s="37">
        <f>'15 Administration og arbejdspla'!G21</f>
        <v>0</v>
      </c>
      <c r="I282" s="37">
        <f>'15 Administration og arbejdspla'!H21</f>
        <v>0</v>
      </c>
      <c r="J282" s="37">
        <f>'15 Administration og arbejdspla'!I21</f>
        <v>0</v>
      </c>
      <c r="K282" s="37">
        <f>'15 Administration og arbejdspla'!J21</f>
        <v>0</v>
      </c>
      <c r="L282" s="37">
        <f>'15 Administration og arbejdspla'!K21</f>
        <v>0</v>
      </c>
      <c r="M282" s="37">
        <f>'15 Administration og arbejdspla'!L21</f>
        <v>0</v>
      </c>
      <c r="N282" s="37">
        <f>'15 Administration og arbejdspla'!M21</f>
        <v>0</v>
      </c>
      <c r="O282" s="37">
        <f>'15 Administration og arbejdspla'!N21</f>
        <v>0</v>
      </c>
      <c r="P282" s="37">
        <f>'15 Administration og arbejdspla'!O21</f>
        <v>0</v>
      </c>
      <c r="Q282" s="37">
        <f>'15 Administration og arbejdspla'!P21</f>
        <v>0</v>
      </c>
      <c r="R282" s="37">
        <f>'15 Administration og arbejdspla'!Q21</f>
        <v>0</v>
      </c>
      <c r="S282" s="37">
        <f>'15 Administration og arbejdspla'!R21</f>
        <v>1</v>
      </c>
      <c r="T282" s="39">
        <f>'15 Administration og arbejdspla'!S21</f>
        <v>57399</v>
      </c>
      <c r="U282" s="40">
        <f>'15 Administration og arbejdspla'!T21</f>
        <v>57399</v>
      </c>
      <c r="V282" s="37" t="s">
        <v>98</v>
      </c>
      <c r="W282" s="37" t="s">
        <v>98</v>
      </c>
      <c r="X282" s="37" t="s">
        <v>98</v>
      </c>
    </row>
    <row r="283" spans="1:24" s="37" customFormat="1" x14ac:dyDescent="0.25">
      <c r="A283" s="37">
        <v>6</v>
      </c>
      <c r="B283" s="37" t="s">
        <v>632</v>
      </c>
      <c r="C283" s="37" t="s">
        <v>633</v>
      </c>
      <c r="D283" s="38" t="str">
        <f>'15 Administration og arbejdspla'!C22</f>
        <v>SUM</v>
      </c>
      <c r="E283" s="37">
        <f>'15 Administration og arbejdspla'!D22</f>
        <v>1</v>
      </c>
      <c r="F283" s="37">
        <f>'15 Administration og arbejdspla'!E22</f>
        <v>0</v>
      </c>
      <c r="G283" s="37">
        <f>'15 Administration og arbejdspla'!F22</f>
        <v>0</v>
      </c>
      <c r="H283" s="37">
        <f>'15 Administration og arbejdspla'!G22</f>
        <v>0</v>
      </c>
      <c r="I283" s="37">
        <f>'15 Administration og arbejdspla'!H22</f>
        <v>0</v>
      </c>
      <c r="J283" s="37">
        <f>'15 Administration og arbejdspla'!I22</f>
        <v>0</v>
      </c>
      <c r="K283" s="37">
        <f>'15 Administration og arbejdspla'!J22</f>
        <v>0</v>
      </c>
      <c r="L283" s="37">
        <f>'15 Administration og arbejdspla'!K22</f>
        <v>0</v>
      </c>
      <c r="M283" s="37">
        <f>'15 Administration og arbejdspla'!L22</f>
        <v>0</v>
      </c>
      <c r="N283" s="37">
        <f>'15 Administration og arbejdspla'!M22</f>
        <v>0</v>
      </c>
      <c r="O283" s="37">
        <f>'15 Administration og arbejdspla'!N22</f>
        <v>0</v>
      </c>
      <c r="P283" s="37">
        <f>'15 Administration og arbejdspla'!O22</f>
        <v>0</v>
      </c>
      <c r="Q283" s="37">
        <f>'15 Administration og arbejdspla'!P22</f>
        <v>0</v>
      </c>
      <c r="R283" s="37">
        <f>'15 Administration og arbejdspla'!Q22</f>
        <v>0</v>
      </c>
      <c r="S283" s="37">
        <f>'15 Administration og arbejdspla'!R22</f>
        <v>1</v>
      </c>
      <c r="T283" s="39">
        <f>'15 Administration og arbejdspla'!S22</f>
        <v>57399</v>
      </c>
      <c r="U283" s="40">
        <f>'15 Administration og arbejdspla'!T22</f>
        <v>57399</v>
      </c>
      <c r="V283" s="37" t="s">
        <v>98</v>
      </c>
      <c r="W283" s="37" t="s">
        <v>98</v>
      </c>
      <c r="X283" s="37" t="s">
        <v>98</v>
      </c>
    </row>
    <row r="284" spans="1:24" s="37" customFormat="1" x14ac:dyDescent="0.25">
      <c r="A284" s="37">
        <v>6</v>
      </c>
      <c r="B284" s="37" t="s">
        <v>634</v>
      </c>
      <c r="C284" s="37" t="s">
        <v>635</v>
      </c>
      <c r="D284" s="38" t="str">
        <f>'15 Administration og arbejdspla'!C23</f>
        <v>SUM</v>
      </c>
      <c r="E284" s="37">
        <f>'15 Administration og arbejdspla'!D23</f>
        <v>1</v>
      </c>
      <c r="F284" s="37">
        <f>'15 Administration og arbejdspla'!E23</f>
        <v>0</v>
      </c>
      <c r="G284" s="37">
        <f>'15 Administration og arbejdspla'!F23</f>
        <v>0</v>
      </c>
      <c r="H284" s="37">
        <f>'15 Administration og arbejdspla'!G23</f>
        <v>0</v>
      </c>
      <c r="I284" s="37">
        <f>'15 Administration og arbejdspla'!H23</f>
        <v>0</v>
      </c>
      <c r="J284" s="37">
        <f>'15 Administration og arbejdspla'!I23</f>
        <v>0</v>
      </c>
      <c r="K284" s="37">
        <f>'15 Administration og arbejdspla'!J23</f>
        <v>0</v>
      </c>
      <c r="L284" s="37">
        <f>'15 Administration og arbejdspla'!K23</f>
        <v>0</v>
      </c>
      <c r="M284" s="37">
        <f>'15 Administration og arbejdspla'!L23</f>
        <v>0</v>
      </c>
      <c r="N284" s="37">
        <f>'15 Administration og arbejdspla'!M23</f>
        <v>0</v>
      </c>
      <c r="O284" s="37">
        <f>'15 Administration og arbejdspla'!N23</f>
        <v>0</v>
      </c>
      <c r="P284" s="37">
        <f>'15 Administration og arbejdspla'!O23</f>
        <v>0</v>
      </c>
      <c r="Q284" s="37">
        <f>'15 Administration og arbejdspla'!P23</f>
        <v>0</v>
      </c>
      <c r="R284" s="37">
        <f>'15 Administration og arbejdspla'!Q23</f>
        <v>0</v>
      </c>
      <c r="S284" s="37">
        <f>'15 Administration og arbejdspla'!R23</f>
        <v>1</v>
      </c>
      <c r="T284" s="39">
        <f>'15 Administration og arbejdspla'!S23</f>
        <v>54228</v>
      </c>
      <c r="U284" s="40">
        <f>'15 Administration og arbejdspla'!T23</f>
        <v>54228</v>
      </c>
      <c r="V284" s="37" t="s">
        <v>98</v>
      </c>
      <c r="W284" s="37" t="s">
        <v>98</v>
      </c>
      <c r="X284" s="37" t="s">
        <v>98</v>
      </c>
    </row>
    <row r="285" spans="1:24" s="37" customFormat="1" x14ac:dyDescent="0.25">
      <c r="A285" s="37">
        <v>6</v>
      </c>
      <c r="B285" s="37" t="s">
        <v>636</v>
      </c>
      <c r="C285" s="37" t="s">
        <v>637</v>
      </c>
      <c r="D285" s="38" t="str">
        <f>'15 Administration og arbejdspla'!C24</f>
        <v>SUM</v>
      </c>
      <c r="E285" s="37">
        <f>'15 Administration og arbejdspla'!D24</f>
        <v>1</v>
      </c>
      <c r="F285" s="37">
        <f>'15 Administration og arbejdspla'!E24</f>
        <v>0</v>
      </c>
      <c r="G285" s="37">
        <f>'15 Administration og arbejdspla'!F24</f>
        <v>0</v>
      </c>
      <c r="H285" s="37">
        <f>'15 Administration og arbejdspla'!G24</f>
        <v>0</v>
      </c>
      <c r="I285" s="37">
        <f>'15 Administration og arbejdspla'!H24</f>
        <v>0</v>
      </c>
      <c r="J285" s="37">
        <f>'15 Administration og arbejdspla'!I24</f>
        <v>0</v>
      </c>
      <c r="K285" s="37">
        <f>'15 Administration og arbejdspla'!J24</f>
        <v>0</v>
      </c>
      <c r="L285" s="37">
        <f>'15 Administration og arbejdspla'!K24</f>
        <v>0</v>
      </c>
      <c r="M285" s="37">
        <f>'15 Administration og arbejdspla'!L24</f>
        <v>0</v>
      </c>
      <c r="N285" s="37">
        <f>'15 Administration og arbejdspla'!M24</f>
        <v>0</v>
      </c>
      <c r="O285" s="37">
        <f>'15 Administration og arbejdspla'!N24</f>
        <v>0</v>
      </c>
      <c r="P285" s="37">
        <f>'15 Administration og arbejdspla'!O24</f>
        <v>0</v>
      </c>
      <c r="Q285" s="37">
        <f>'15 Administration og arbejdspla'!P24</f>
        <v>0</v>
      </c>
      <c r="R285" s="37">
        <f>'15 Administration og arbejdspla'!Q24</f>
        <v>0</v>
      </c>
      <c r="S285" s="37">
        <f>'15 Administration og arbejdspla'!R24</f>
        <v>1</v>
      </c>
      <c r="T285" s="39">
        <f>'15 Administration og arbejdspla'!S24</f>
        <v>155159</v>
      </c>
      <c r="U285" s="40">
        <f>'15 Administration og arbejdspla'!T24</f>
        <v>155159</v>
      </c>
      <c r="V285" s="37" t="s">
        <v>98</v>
      </c>
      <c r="W285" s="37" t="s">
        <v>98</v>
      </c>
      <c r="X285" s="37" t="s">
        <v>98</v>
      </c>
    </row>
    <row r="286" spans="1:24" s="37" customFormat="1" x14ac:dyDescent="0.25">
      <c r="A286" s="37">
        <v>6</v>
      </c>
      <c r="B286" s="37" t="s">
        <v>638</v>
      </c>
      <c r="C286" s="37" t="s">
        <v>639</v>
      </c>
      <c r="D286" s="38" t="str">
        <f>'15 Administration og arbejdspla'!C25</f>
        <v>SUM</v>
      </c>
      <c r="E286" s="37">
        <f>'15 Administration og arbejdspla'!D25</f>
        <v>1</v>
      </c>
      <c r="F286" s="37">
        <f>'15 Administration og arbejdspla'!E25</f>
        <v>0</v>
      </c>
      <c r="G286" s="37">
        <f>'15 Administration og arbejdspla'!F25</f>
        <v>0</v>
      </c>
      <c r="H286" s="37">
        <f>'15 Administration og arbejdspla'!G25</f>
        <v>0</v>
      </c>
      <c r="I286" s="37">
        <f>'15 Administration og arbejdspla'!H25</f>
        <v>0</v>
      </c>
      <c r="J286" s="37">
        <f>'15 Administration og arbejdspla'!I25</f>
        <v>0</v>
      </c>
      <c r="K286" s="37">
        <f>'15 Administration og arbejdspla'!J25</f>
        <v>0</v>
      </c>
      <c r="L286" s="37">
        <f>'15 Administration og arbejdspla'!K25</f>
        <v>0</v>
      </c>
      <c r="M286" s="37">
        <f>'15 Administration og arbejdspla'!L25</f>
        <v>0</v>
      </c>
      <c r="N286" s="37">
        <f>'15 Administration og arbejdspla'!M25</f>
        <v>0</v>
      </c>
      <c r="O286" s="37">
        <f>'15 Administration og arbejdspla'!N25</f>
        <v>0</v>
      </c>
      <c r="P286" s="37">
        <f>'15 Administration og arbejdspla'!O25</f>
        <v>0</v>
      </c>
      <c r="Q286" s="37">
        <f>'15 Administration og arbejdspla'!P25</f>
        <v>0</v>
      </c>
      <c r="R286" s="37">
        <f>'15 Administration og arbejdspla'!Q25</f>
        <v>0</v>
      </c>
      <c r="S286" s="37">
        <f>'15 Administration og arbejdspla'!R25</f>
        <v>1</v>
      </c>
      <c r="T286" s="39">
        <f>'15 Administration og arbejdspla'!S25</f>
        <v>472784</v>
      </c>
      <c r="U286" s="40">
        <f>'15 Administration og arbejdspla'!T25</f>
        <v>472784</v>
      </c>
      <c r="V286" s="37" t="s">
        <v>98</v>
      </c>
      <c r="W286" s="37" t="s">
        <v>98</v>
      </c>
      <c r="X286" s="37" t="s">
        <v>98</v>
      </c>
    </row>
    <row r="287" spans="1:24" s="37" customFormat="1" x14ac:dyDescent="0.25">
      <c r="A287" s="37">
        <v>6</v>
      </c>
      <c r="B287" s="37" t="s">
        <v>640</v>
      </c>
      <c r="C287" s="37" t="s">
        <v>641</v>
      </c>
      <c r="D287" s="38" t="str">
        <f>'15 Administration og arbejdspla'!C26</f>
        <v>SUM</v>
      </c>
      <c r="E287" s="37">
        <f>'15 Administration og arbejdspla'!D26</f>
        <v>1</v>
      </c>
      <c r="F287" s="37">
        <f>'15 Administration og arbejdspla'!E26</f>
        <v>0</v>
      </c>
      <c r="G287" s="37">
        <f>'15 Administration og arbejdspla'!F26</f>
        <v>0</v>
      </c>
      <c r="H287" s="37">
        <f>'15 Administration og arbejdspla'!G26</f>
        <v>0</v>
      </c>
      <c r="I287" s="37">
        <f>'15 Administration og arbejdspla'!H26</f>
        <v>0</v>
      </c>
      <c r="J287" s="37">
        <f>'15 Administration og arbejdspla'!I26</f>
        <v>0</v>
      </c>
      <c r="K287" s="37">
        <f>'15 Administration og arbejdspla'!J26</f>
        <v>0</v>
      </c>
      <c r="L287" s="37">
        <f>'15 Administration og arbejdspla'!K26</f>
        <v>0</v>
      </c>
      <c r="M287" s="37">
        <f>'15 Administration og arbejdspla'!L26</f>
        <v>0</v>
      </c>
      <c r="N287" s="37">
        <f>'15 Administration og arbejdspla'!M26</f>
        <v>0</v>
      </c>
      <c r="O287" s="37">
        <f>'15 Administration og arbejdspla'!N26</f>
        <v>0</v>
      </c>
      <c r="P287" s="37">
        <f>'15 Administration og arbejdspla'!O26</f>
        <v>0</v>
      </c>
      <c r="Q287" s="37">
        <f>'15 Administration og arbejdspla'!P26</f>
        <v>0</v>
      </c>
      <c r="R287" s="37">
        <f>'15 Administration og arbejdspla'!Q26</f>
        <v>0</v>
      </c>
      <c r="S287" s="37">
        <f>'15 Administration og arbejdspla'!R26</f>
        <v>1</v>
      </c>
      <c r="T287" s="39">
        <f>'15 Administration og arbejdspla'!S26</f>
        <v>152472</v>
      </c>
      <c r="U287" s="40">
        <f>'15 Administration og arbejdspla'!T26</f>
        <v>152472</v>
      </c>
      <c r="V287" s="37" t="s">
        <v>98</v>
      </c>
      <c r="W287" s="37" t="s">
        <v>98</v>
      </c>
      <c r="X287" s="37" t="s">
        <v>98</v>
      </c>
    </row>
    <row r="288" spans="1:24" s="37" customFormat="1" x14ac:dyDescent="0.25">
      <c r="A288" s="37">
        <v>6</v>
      </c>
      <c r="B288" s="37" t="s">
        <v>642</v>
      </c>
      <c r="C288" s="37" t="s">
        <v>643</v>
      </c>
      <c r="D288" s="38" t="str">
        <f>'15 Administration og arbejdspla'!C27</f>
        <v>SUM</v>
      </c>
      <c r="E288" s="37">
        <f>'15 Administration og arbejdspla'!D27</f>
        <v>1</v>
      </c>
      <c r="F288" s="37">
        <f>'15 Administration og arbejdspla'!E27</f>
        <v>0</v>
      </c>
      <c r="G288" s="37">
        <f>'15 Administration og arbejdspla'!F27</f>
        <v>0</v>
      </c>
      <c r="H288" s="37">
        <f>'15 Administration og arbejdspla'!G27</f>
        <v>0</v>
      </c>
      <c r="I288" s="37">
        <f>'15 Administration og arbejdspla'!H27</f>
        <v>0</v>
      </c>
      <c r="J288" s="37">
        <f>'15 Administration og arbejdspla'!I27</f>
        <v>0</v>
      </c>
      <c r="K288" s="37">
        <f>'15 Administration og arbejdspla'!J27</f>
        <v>0</v>
      </c>
      <c r="L288" s="37">
        <f>'15 Administration og arbejdspla'!K27</f>
        <v>0</v>
      </c>
      <c r="M288" s="37">
        <f>'15 Administration og arbejdspla'!L27</f>
        <v>0</v>
      </c>
      <c r="N288" s="37">
        <f>'15 Administration og arbejdspla'!M27</f>
        <v>0</v>
      </c>
      <c r="O288" s="37">
        <f>'15 Administration og arbejdspla'!N27</f>
        <v>0</v>
      </c>
      <c r="P288" s="37">
        <f>'15 Administration og arbejdspla'!O27</f>
        <v>0</v>
      </c>
      <c r="Q288" s="37">
        <f>'15 Administration og arbejdspla'!P27</f>
        <v>0</v>
      </c>
      <c r="R288" s="37">
        <f>'15 Administration og arbejdspla'!Q27</f>
        <v>0</v>
      </c>
      <c r="S288" s="37">
        <f>'15 Administration og arbejdspla'!R27</f>
        <v>1</v>
      </c>
      <c r="T288" s="39">
        <f>'15 Administration og arbejdspla'!S27</f>
        <v>941578</v>
      </c>
      <c r="U288" s="40">
        <f>'15 Administration og arbejdspla'!T27</f>
        <v>941578</v>
      </c>
      <c r="V288" s="37" t="s">
        <v>98</v>
      </c>
      <c r="W288" s="37" t="s">
        <v>98</v>
      </c>
      <c r="X288" s="37" t="s">
        <v>98</v>
      </c>
    </row>
    <row r="289" spans="1:24" s="37" customFormat="1" x14ac:dyDescent="0.25">
      <c r="A289" s="37">
        <v>6</v>
      </c>
      <c r="B289" s="37" t="s">
        <v>644</v>
      </c>
      <c r="C289" s="37" t="s">
        <v>645</v>
      </c>
      <c r="D289" s="38" t="str">
        <f>'15 Administration og arbejdspla'!C28</f>
        <v>SUM</v>
      </c>
      <c r="E289" s="37">
        <f>'15 Administration og arbejdspla'!D28</f>
        <v>1</v>
      </c>
      <c r="F289" s="37">
        <f>'15 Administration og arbejdspla'!E28</f>
        <v>0</v>
      </c>
      <c r="G289" s="37">
        <f>'15 Administration og arbejdspla'!F28</f>
        <v>0</v>
      </c>
      <c r="H289" s="37">
        <f>'15 Administration og arbejdspla'!G28</f>
        <v>0</v>
      </c>
      <c r="I289" s="37">
        <f>'15 Administration og arbejdspla'!H28</f>
        <v>0</v>
      </c>
      <c r="J289" s="37">
        <f>'15 Administration og arbejdspla'!I28</f>
        <v>0</v>
      </c>
      <c r="K289" s="37">
        <f>'15 Administration og arbejdspla'!J28</f>
        <v>0</v>
      </c>
      <c r="L289" s="37">
        <f>'15 Administration og arbejdspla'!K28</f>
        <v>0</v>
      </c>
      <c r="M289" s="37">
        <f>'15 Administration og arbejdspla'!L28</f>
        <v>0</v>
      </c>
      <c r="N289" s="37">
        <f>'15 Administration og arbejdspla'!M28</f>
        <v>0</v>
      </c>
      <c r="O289" s="37">
        <f>'15 Administration og arbejdspla'!N28</f>
        <v>0</v>
      </c>
      <c r="P289" s="37">
        <f>'15 Administration og arbejdspla'!O28</f>
        <v>0</v>
      </c>
      <c r="Q289" s="37">
        <f>'15 Administration og arbejdspla'!P28</f>
        <v>0</v>
      </c>
      <c r="R289" s="37">
        <f>'15 Administration og arbejdspla'!Q28</f>
        <v>0</v>
      </c>
      <c r="S289" s="37">
        <f>'15 Administration og arbejdspla'!R28</f>
        <v>1</v>
      </c>
      <c r="T289" s="39">
        <f>'15 Administration og arbejdspla'!S28</f>
        <v>54228</v>
      </c>
      <c r="U289" s="40">
        <f>'15 Administration og arbejdspla'!T28</f>
        <v>54228</v>
      </c>
      <c r="V289" s="37" t="s">
        <v>98</v>
      </c>
      <c r="W289" s="37" t="s">
        <v>98</v>
      </c>
      <c r="X289" s="37" t="s">
        <v>98</v>
      </c>
    </row>
    <row r="290" spans="1:24" s="37" customFormat="1" x14ac:dyDescent="0.25">
      <c r="A290" s="37">
        <v>6</v>
      </c>
      <c r="B290" s="37" t="s">
        <v>646</v>
      </c>
      <c r="C290" s="37" t="s">
        <v>647</v>
      </c>
      <c r="D290" s="38" t="str">
        <f>'15 Administration og arbejdspla'!C29</f>
        <v>SUM</v>
      </c>
      <c r="E290" s="37">
        <f>'15 Administration og arbejdspla'!D29</f>
        <v>1</v>
      </c>
      <c r="F290" s="37">
        <f>'15 Administration og arbejdspla'!E29</f>
        <v>0</v>
      </c>
      <c r="G290" s="37">
        <f>'15 Administration og arbejdspla'!F29</f>
        <v>0</v>
      </c>
      <c r="H290" s="37">
        <f>'15 Administration og arbejdspla'!G29</f>
        <v>0</v>
      </c>
      <c r="I290" s="37">
        <f>'15 Administration og arbejdspla'!H29</f>
        <v>0</v>
      </c>
      <c r="J290" s="37">
        <f>'15 Administration og arbejdspla'!I29</f>
        <v>0</v>
      </c>
      <c r="K290" s="37">
        <f>'15 Administration og arbejdspla'!J29</f>
        <v>0</v>
      </c>
      <c r="L290" s="37">
        <f>'15 Administration og arbejdspla'!K29</f>
        <v>0</v>
      </c>
      <c r="M290" s="37">
        <f>'15 Administration og arbejdspla'!L29</f>
        <v>0</v>
      </c>
      <c r="N290" s="37">
        <f>'15 Administration og arbejdspla'!M29</f>
        <v>0</v>
      </c>
      <c r="O290" s="37">
        <f>'15 Administration og arbejdspla'!N29</f>
        <v>0</v>
      </c>
      <c r="P290" s="37">
        <f>'15 Administration og arbejdspla'!O29</f>
        <v>0</v>
      </c>
      <c r="Q290" s="37">
        <f>'15 Administration og arbejdspla'!P29</f>
        <v>0</v>
      </c>
      <c r="R290" s="37">
        <f>'15 Administration og arbejdspla'!Q29</f>
        <v>0</v>
      </c>
      <c r="S290" s="37">
        <f>'15 Administration og arbejdspla'!R29</f>
        <v>1</v>
      </c>
      <c r="T290" s="39">
        <f>'15 Administration og arbejdspla'!S29</f>
        <v>54228</v>
      </c>
      <c r="U290" s="40">
        <f>'15 Administration og arbejdspla'!T29</f>
        <v>54228</v>
      </c>
      <c r="V290" s="37" t="s">
        <v>98</v>
      </c>
      <c r="W290" s="37" t="s">
        <v>98</v>
      </c>
      <c r="X290" s="37" t="s">
        <v>98</v>
      </c>
    </row>
    <row r="291" spans="1:24" s="37" customFormat="1" x14ac:dyDescent="0.25">
      <c r="A291" s="37">
        <v>6</v>
      </c>
      <c r="B291" s="37" t="s">
        <v>648</v>
      </c>
      <c r="C291" s="37" t="s">
        <v>649</v>
      </c>
      <c r="D291" s="38" t="str">
        <f>'15 Administration og arbejdspla'!C30</f>
        <v>SUM</v>
      </c>
      <c r="E291" s="37">
        <f>'15 Administration og arbejdspla'!D30</f>
        <v>1</v>
      </c>
      <c r="F291" s="37">
        <f>'15 Administration og arbejdspla'!E30</f>
        <v>0</v>
      </c>
      <c r="G291" s="37">
        <f>'15 Administration og arbejdspla'!F30</f>
        <v>0</v>
      </c>
      <c r="H291" s="37">
        <f>'15 Administration og arbejdspla'!G30</f>
        <v>0</v>
      </c>
      <c r="I291" s="37">
        <f>'15 Administration og arbejdspla'!H30</f>
        <v>0</v>
      </c>
      <c r="J291" s="37">
        <f>'15 Administration og arbejdspla'!I30</f>
        <v>0</v>
      </c>
      <c r="K291" s="37">
        <f>'15 Administration og arbejdspla'!J30</f>
        <v>0</v>
      </c>
      <c r="L291" s="37">
        <f>'15 Administration og arbejdspla'!K30</f>
        <v>0</v>
      </c>
      <c r="M291" s="37">
        <f>'15 Administration og arbejdspla'!L30</f>
        <v>0</v>
      </c>
      <c r="N291" s="37">
        <f>'15 Administration og arbejdspla'!M30</f>
        <v>0</v>
      </c>
      <c r="O291" s="37">
        <f>'15 Administration og arbejdspla'!N30</f>
        <v>0</v>
      </c>
      <c r="P291" s="37">
        <f>'15 Administration og arbejdspla'!O30</f>
        <v>0</v>
      </c>
      <c r="Q291" s="37">
        <f>'15 Administration og arbejdspla'!P30</f>
        <v>0</v>
      </c>
      <c r="R291" s="37">
        <f>'15 Administration og arbejdspla'!Q30</f>
        <v>0</v>
      </c>
      <c r="S291" s="37">
        <f>'15 Administration og arbejdspla'!R30</f>
        <v>1</v>
      </c>
      <c r="T291" s="39">
        <f>'15 Administration og arbejdspla'!S30</f>
        <v>54228</v>
      </c>
      <c r="U291" s="40">
        <f>'15 Administration og arbejdspla'!T30</f>
        <v>54228</v>
      </c>
      <c r="V291" s="37" t="s">
        <v>98</v>
      </c>
      <c r="W291" s="37" t="s">
        <v>98</v>
      </c>
      <c r="X291" s="37" t="s">
        <v>98</v>
      </c>
    </row>
    <row r="292" spans="1:24" s="37" customFormat="1" x14ac:dyDescent="0.25">
      <c r="A292" s="37">
        <v>6</v>
      </c>
      <c r="B292" s="37" t="s">
        <v>650</v>
      </c>
      <c r="C292" s="37" t="s">
        <v>651</v>
      </c>
      <c r="D292" s="38" t="str">
        <f>'15 Administration og arbejdspla'!C31</f>
        <v>SUM</v>
      </c>
      <c r="E292" s="37">
        <f>'15 Administration og arbejdspla'!D31</f>
        <v>1</v>
      </c>
      <c r="F292" s="37">
        <f>'15 Administration og arbejdspla'!E31</f>
        <v>0</v>
      </c>
      <c r="G292" s="37">
        <f>'15 Administration og arbejdspla'!F31</f>
        <v>0</v>
      </c>
      <c r="H292" s="37">
        <f>'15 Administration og arbejdspla'!G31</f>
        <v>0</v>
      </c>
      <c r="I292" s="37">
        <f>'15 Administration og arbejdspla'!H31</f>
        <v>0</v>
      </c>
      <c r="J292" s="37">
        <f>'15 Administration og arbejdspla'!I31</f>
        <v>0</v>
      </c>
      <c r="K292" s="37">
        <f>'15 Administration og arbejdspla'!J31</f>
        <v>0</v>
      </c>
      <c r="L292" s="37">
        <f>'15 Administration og arbejdspla'!K31</f>
        <v>0</v>
      </c>
      <c r="M292" s="37">
        <f>'15 Administration og arbejdspla'!L31</f>
        <v>0</v>
      </c>
      <c r="N292" s="37">
        <f>'15 Administration og arbejdspla'!M31</f>
        <v>0</v>
      </c>
      <c r="O292" s="37">
        <f>'15 Administration og arbejdspla'!N31</f>
        <v>0</v>
      </c>
      <c r="P292" s="37">
        <f>'15 Administration og arbejdspla'!O31</f>
        <v>0</v>
      </c>
      <c r="Q292" s="37">
        <f>'15 Administration og arbejdspla'!P31</f>
        <v>0</v>
      </c>
      <c r="R292" s="37">
        <f>'15 Administration og arbejdspla'!Q31</f>
        <v>0</v>
      </c>
      <c r="S292" s="37">
        <f>'15 Administration og arbejdspla'!R31</f>
        <v>1</v>
      </c>
      <c r="T292" s="39">
        <f>'15 Administration og arbejdspla'!S31</f>
        <v>54228</v>
      </c>
      <c r="U292" s="40">
        <f>'15 Administration og arbejdspla'!T31</f>
        <v>54228</v>
      </c>
      <c r="V292" s="37" t="s">
        <v>98</v>
      </c>
      <c r="W292" s="37" t="s">
        <v>98</v>
      </c>
      <c r="X292" s="37" t="s">
        <v>98</v>
      </c>
    </row>
    <row r="293" spans="1:24" s="37" customFormat="1" x14ac:dyDescent="0.25">
      <c r="A293" s="37">
        <v>6</v>
      </c>
      <c r="B293" s="37" t="s">
        <v>652</v>
      </c>
      <c r="C293" s="37" t="s">
        <v>653</v>
      </c>
      <c r="D293" s="38" t="str">
        <f>'15 Administration og arbejdspla'!C32</f>
        <v>SUM</v>
      </c>
      <c r="E293" s="37">
        <f>'15 Administration og arbejdspla'!D32</f>
        <v>1</v>
      </c>
      <c r="F293" s="37">
        <f>'15 Administration og arbejdspla'!E32</f>
        <v>0</v>
      </c>
      <c r="G293" s="37">
        <f>'15 Administration og arbejdspla'!F32</f>
        <v>0</v>
      </c>
      <c r="H293" s="37">
        <f>'15 Administration og arbejdspla'!G32</f>
        <v>0</v>
      </c>
      <c r="I293" s="37">
        <f>'15 Administration og arbejdspla'!H32</f>
        <v>0</v>
      </c>
      <c r="J293" s="37">
        <f>'15 Administration og arbejdspla'!I32</f>
        <v>0</v>
      </c>
      <c r="K293" s="37">
        <f>'15 Administration og arbejdspla'!J32</f>
        <v>0</v>
      </c>
      <c r="L293" s="37">
        <f>'15 Administration og arbejdspla'!K32</f>
        <v>0</v>
      </c>
      <c r="M293" s="37">
        <f>'15 Administration og arbejdspla'!L32</f>
        <v>0</v>
      </c>
      <c r="N293" s="37">
        <f>'15 Administration og arbejdspla'!M32</f>
        <v>0</v>
      </c>
      <c r="O293" s="37">
        <f>'15 Administration og arbejdspla'!N32</f>
        <v>0</v>
      </c>
      <c r="P293" s="37">
        <f>'15 Administration og arbejdspla'!O32</f>
        <v>0</v>
      </c>
      <c r="Q293" s="37">
        <f>'15 Administration og arbejdspla'!P32</f>
        <v>0</v>
      </c>
      <c r="R293" s="37">
        <f>'15 Administration og arbejdspla'!Q32</f>
        <v>0</v>
      </c>
      <c r="S293" s="37">
        <f>'15 Administration og arbejdspla'!R32</f>
        <v>1</v>
      </c>
      <c r="T293" s="39">
        <f>'15 Administration og arbejdspla'!S32</f>
        <v>160174</v>
      </c>
      <c r="U293" s="40">
        <f>'15 Administration og arbejdspla'!T32</f>
        <v>160174</v>
      </c>
      <c r="V293" s="37" t="s">
        <v>98</v>
      </c>
      <c r="W293" s="37" t="s">
        <v>98</v>
      </c>
      <c r="X293" s="37" t="s">
        <v>98</v>
      </c>
    </row>
    <row r="294" spans="1:24" s="37" customFormat="1" x14ac:dyDescent="0.25">
      <c r="A294" s="37">
        <v>6</v>
      </c>
      <c r="B294" s="37" t="s">
        <v>654</v>
      </c>
      <c r="C294" s="37" t="s">
        <v>655</v>
      </c>
      <c r="D294" s="38" t="str">
        <f>'15 Administration og arbejdspla'!C33</f>
        <v>SUM</v>
      </c>
      <c r="E294" s="37">
        <f>'15 Administration og arbejdspla'!D33</f>
        <v>1</v>
      </c>
      <c r="F294" s="37">
        <f>'15 Administration og arbejdspla'!E33</f>
        <v>0</v>
      </c>
      <c r="G294" s="37">
        <f>'15 Administration og arbejdspla'!F33</f>
        <v>0</v>
      </c>
      <c r="H294" s="37">
        <f>'15 Administration og arbejdspla'!G33</f>
        <v>0</v>
      </c>
      <c r="I294" s="37">
        <f>'15 Administration og arbejdspla'!H33</f>
        <v>0</v>
      </c>
      <c r="J294" s="37">
        <f>'15 Administration og arbejdspla'!I33</f>
        <v>0</v>
      </c>
      <c r="K294" s="37">
        <f>'15 Administration og arbejdspla'!J33</f>
        <v>0</v>
      </c>
      <c r="L294" s="37">
        <f>'15 Administration og arbejdspla'!K33</f>
        <v>0</v>
      </c>
      <c r="M294" s="37">
        <f>'15 Administration og arbejdspla'!L33</f>
        <v>0</v>
      </c>
      <c r="N294" s="37">
        <f>'15 Administration og arbejdspla'!M33</f>
        <v>0</v>
      </c>
      <c r="O294" s="37">
        <f>'15 Administration og arbejdspla'!N33</f>
        <v>0</v>
      </c>
      <c r="P294" s="37">
        <f>'15 Administration og arbejdspla'!O33</f>
        <v>0</v>
      </c>
      <c r="Q294" s="37">
        <f>'15 Administration og arbejdspla'!P33</f>
        <v>0</v>
      </c>
      <c r="R294" s="37">
        <f>'15 Administration og arbejdspla'!Q33</f>
        <v>0</v>
      </c>
      <c r="S294" s="37">
        <f>'15 Administration og arbejdspla'!R33</f>
        <v>1</v>
      </c>
      <c r="T294" s="39">
        <f>'15 Administration og arbejdspla'!S33</f>
        <v>494795</v>
      </c>
      <c r="U294" s="40">
        <f>'15 Administration og arbejdspla'!T33</f>
        <v>494795</v>
      </c>
      <c r="V294" s="37" t="s">
        <v>98</v>
      </c>
      <c r="W294" s="37" t="s">
        <v>98</v>
      </c>
      <c r="X294" s="37" t="s">
        <v>98</v>
      </c>
    </row>
    <row r="295" spans="1:24" s="37" customFormat="1" x14ac:dyDescent="0.25">
      <c r="A295" s="37">
        <v>5</v>
      </c>
      <c r="B295" s="37" t="s">
        <v>656</v>
      </c>
      <c r="C295" s="37" t="s">
        <v>657</v>
      </c>
      <c r="D295" s="38" t="str">
        <f>'15 Administration og arbejdspla'!C34</f>
        <v>SUM</v>
      </c>
      <c r="E295" s="37">
        <f>'15 Administration og arbejdspla'!D34</f>
        <v>1</v>
      </c>
      <c r="F295" s="37">
        <f>'15 Administration og arbejdspla'!E34</f>
        <v>0</v>
      </c>
      <c r="G295" s="37">
        <f>'15 Administration og arbejdspla'!F34</f>
        <v>0</v>
      </c>
      <c r="H295" s="37">
        <f>'15 Administration og arbejdspla'!G34</f>
        <v>0</v>
      </c>
      <c r="I295" s="37">
        <f>'15 Administration og arbejdspla'!H34</f>
        <v>0</v>
      </c>
      <c r="J295" s="37">
        <f>'15 Administration og arbejdspla'!I34</f>
        <v>0</v>
      </c>
      <c r="K295" s="37">
        <f>'15 Administration og arbejdspla'!J34</f>
        <v>0</v>
      </c>
      <c r="L295" s="37">
        <f>'15 Administration og arbejdspla'!K34</f>
        <v>0</v>
      </c>
      <c r="M295" s="37">
        <f>'15 Administration og arbejdspla'!L34</f>
        <v>0</v>
      </c>
      <c r="N295" s="37">
        <f>'15 Administration og arbejdspla'!M34</f>
        <v>0</v>
      </c>
      <c r="O295" s="37">
        <f>'15 Administration og arbejdspla'!N34</f>
        <v>0</v>
      </c>
      <c r="P295" s="37">
        <f>'15 Administration og arbejdspla'!O34</f>
        <v>0</v>
      </c>
      <c r="Q295" s="37">
        <f>'15 Administration og arbejdspla'!P34</f>
        <v>0</v>
      </c>
      <c r="R295" s="37">
        <f>'15 Administration og arbejdspla'!Q34</f>
        <v>0</v>
      </c>
      <c r="S295" s="37">
        <f>'15 Administration og arbejdspla'!R34</f>
        <v>1</v>
      </c>
      <c r="T295" s="39">
        <f>'15 Administration og arbejdspla'!S34</f>
        <v>4066955</v>
      </c>
      <c r="U295" s="40">
        <f>'15 Administration og arbejdspla'!T34</f>
        <v>4066955</v>
      </c>
      <c r="V295" s="37" t="s">
        <v>98</v>
      </c>
      <c r="W295" s="37" t="s">
        <v>822</v>
      </c>
      <c r="X295" s="37" t="s">
        <v>98</v>
      </c>
    </row>
    <row r="296" spans="1:24" s="37" customFormat="1" x14ac:dyDescent="0.25">
      <c r="A296" s="37">
        <v>5</v>
      </c>
      <c r="B296" s="37" t="s">
        <v>658</v>
      </c>
      <c r="C296" s="37" t="s">
        <v>659</v>
      </c>
      <c r="D296" s="38" t="str">
        <f>'15 Administration og arbejdspla'!C35</f>
        <v>SUM</v>
      </c>
      <c r="E296" s="37">
        <f>'15 Administration og arbejdspla'!D35</f>
        <v>1</v>
      </c>
      <c r="F296" s="37">
        <f>'15 Administration og arbejdspla'!E35</f>
        <v>0</v>
      </c>
      <c r="G296" s="37">
        <f>'15 Administration og arbejdspla'!F35</f>
        <v>0</v>
      </c>
      <c r="H296" s="37">
        <f>'15 Administration og arbejdspla'!G35</f>
        <v>0</v>
      </c>
      <c r="I296" s="37">
        <f>'15 Administration og arbejdspla'!H35</f>
        <v>0</v>
      </c>
      <c r="J296" s="37">
        <f>'15 Administration og arbejdspla'!I35</f>
        <v>0</v>
      </c>
      <c r="K296" s="37">
        <f>'15 Administration og arbejdspla'!J35</f>
        <v>0</v>
      </c>
      <c r="L296" s="37">
        <f>'15 Administration og arbejdspla'!K35</f>
        <v>0</v>
      </c>
      <c r="M296" s="37">
        <f>'15 Administration og arbejdspla'!L35</f>
        <v>0</v>
      </c>
      <c r="N296" s="37">
        <f>'15 Administration og arbejdspla'!M35</f>
        <v>0</v>
      </c>
      <c r="O296" s="37">
        <f>'15 Administration og arbejdspla'!N35</f>
        <v>0</v>
      </c>
      <c r="P296" s="37">
        <f>'15 Administration og arbejdspla'!O35</f>
        <v>0</v>
      </c>
      <c r="Q296" s="37">
        <f>'15 Administration og arbejdspla'!P35</f>
        <v>0</v>
      </c>
      <c r="R296" s="37">
        <f>'15 Administration og arbejdspla'!Q35</f>
        <v>0</v>
      </c>
      <c r="S296" s="37">
        <f>'15 Administration og arbejdspla'!R35</f>
        <v>1</v>
      </c>
      <c r="T296" s="39">
        <f>'15 Administration og arbejdspla'!S35</f>
        <v>858855</v>
      </c>
      <c r="U296" s="40">
        <f>'15 Administration og arbejdspla'!T35</f>
        <v>858855</v>
      </c>
      <c r="V296" s="37" t="s">
        <v>98</v>
      </c>
      <c r="W296" s="37" t="s">
        <v>822</v>
      </c>
      <c r="X296" s="37" t="s">
        <v>98</v>
      </c>
    </row>
    <row r="297" spans="1:24" s="37" customFormat="1" x14ac:dyDescent="0.25">
      <c r="A297" s="37">
        <v>5</v>
      </c>
      <c r="B297" s="37" t="s">
        <v>660</v>
      </c>
      <c r="C297" s="37" t="s">
        <v>661</v>
      </c>
      <c r="D297" s="38" t="str">
        <f>'15 Administration og arbejdspla'!C36</f>
        <v>SUM</v>
      </c>
      <c r="E297" s="37">
        <f>'15 Administration og arbejdspla'!D36</f>
        <v>1</v>
      </c>
      <c r="F297" s="37">
        <f>'15 Administration og arbejdspla'!E36</f>
        <v>0</v>
      </c>
      <c r="G297" s="37">
        <f>'15 Administration og arbejdspla'!F36</f>
        <v>0</v>
      </c>
      <c r="H297" s="37">
        <f>'15 Administration og arbejdspla'!G36</f>
        <v>0</v>
      </c>
      <c r="I297" s="37">
        <f>'15 Administration og arbejdspla'!H36</f>
        <v>0</v>
      </c>
      <c r="J297" s="37">
        <f>'15 Administration og arbejdspla'!I36</f>
        <v>0</v>
      </c>
      <c r="K297" s="37">
        <f>'15 Administration og arbejdspla'!J36</f>
        <v>0</v>
      </c>
      <c r="L297" s="37">
        <f>'15 Administration og arbejdspla'!K36</f>
        <v>0</v>
      </c>
      <c r="M297" s="37">
        <f>'15 Administration og arbejdspla'!L36</f>
        <v>0</v>
      </c>
      <c r="N297" s="37">
        <f>'15 Administration og arbejdspla'!M36</f>
        <v>0</v>
      </c>
      <c r="O297" s="37">
        <f>'15 Administration og arbejdspla'!N36</f>
        <v>0</v>
      </c>
      <c r="P297" s="37">
        <f>'15 Administration og arbejdspla'!O36</f>
        <v>0</v>
      </c>
      <c r="Q297" s="37">
        <f>'15 Administration og arbejdspla'!P36</f>
        <v>0</v>
      </c>
      <c r="R297" s="37">
        <f>'15 Administration og arbejdspla'!Q36</f>
        <v>0</v>
      </c>
      <c r="S297" s="37">
        <f>'15 Administration og arbejdspla'!R36</f>
        <v>1</v>
      </c>
      <c r="T297" s="39">
        <f>'15 Administration og arbejdspla'!S36</f>
        <v>109140</v>
      </c>
      <c r="U297" s="40">
        <f>'15 Administration og arbejdspla'!T36</f>
        <v>109140</v>
      </c>
      <c r="V297" s="37" t="s">
        <v>98</v>
      </c>
      <c r="W297" s="37" t="s">
        <v>822</v>
      </c>
      <c r="X297" s="37" t="s">
        <v>98</v>
      </c>
    </row>
    <row r="298" spans="1:24" s="36" customFormat="1" x14ac:dyDescent="0.25">
      <c r="A298" s="28">
        <v>4</v>
      </c>
      <c r="B298" s="28" t="s">
        <v>662</v>
      </c>
      <c r="C298" s="28" t="s">
        <v>663</v>
      </c>
      <c r="D298" s="50" t="str">
        <f>'15 Administration og arbejdspla'!C37</f>
        <v/>
      </c>
      <c r="E298" s="28">
        <f>'15 Administration og arbejdspla'!D37</f>
        <v>0</v>
      </c>
      <c r="F298" s="28">
        <f>'15 Administration og arbejdspla'!E37</f>
        <v>0</v>
      </c>
      <c r="G298" s="28">
        <f>'15 Administration og arbejdspla'!F37</f>
        <v>0</v>
      </c>
      <c r="H298" s="28">
        <f>'15 Administration og arbejdspla'!G37</f>
        <v>0</v>
      </c>
      <c r="I298" s="28">
        <f>'15 Administration og arbejdspla'!H37</f>
        <v>0</v>
      </c>
      <c r="J298" s="28">
        <f>'15 Administration og arbejdspla'!I37</f>
        <v>0</v>
      </c>
      <c r="K298" s="28">
        <f>'15 Administration og arbejdspla'!J37</f>
        <v>0</v>
      </c>
      <c r="L298" s="28">
        <f>'15 Administration og arbejdspla'!K37</f>
        <v>0</v>
      </c>
      <c r="M298" s="28">
        <f>'15 Administration og arbejdspla'!L37</f>
        <v>0</v>
      </c>
      <c r="N298" s="28">
        <f>'15 Administration og arbejdspla'!M37</f>
        <v>0</v>
      </c>
      <c r="O298" s="28">
        <f>'15 Administration og arbejdspla'!N37</f>
        <v>0</v>
      </c>
      <c r="P298" s="28">
        <f>'15 Administration og arbejdspla'!O37</f>
        <v>0</v>
      </c>
      <c r="Q298" s="28">
        <f>'15 Administration og arbejdspla'!P37</f>
        <v>0</v>
      </c>
      <c r="R298" s="28">
        <f>'15 Administration og arbejdspla'!Q37</f>
        <v>0</v>
      </c>
      <c r="S298" s="28">
        <f>'15 Administration og arbejdspla'!R37</f>
        <v>0</v>
      </c>
      <c r="T298" s="51">
        <f>'15 Administration og arbejdspla'!S37</f>
        <v>0</v>
      </c>
      <c r="U298" s="52">
        <f>'15 Administration og arbejdspla'!T37</f>
        <v>0</v>
      </c>
      <c r="V298" s="28" t="s">
        <v>98</v>
      </c>
      <c r="W298" s="28" t="s">
        <v>98</v>
      </c>
      <c r="X298" s="28" t="s">
        <v>98</v>
      </c>
    </row>
    <row r="299" spans="1:24" s="37" customFormat="1" x14ac:dyDescent="0.25">
      <c r="A299" s="37">
        <v>5</v>
      </c>
      <c r="B299" s="37" t="s">
        <v>664</v>
      </c>
      <c r="C299" s="37" t="s">
        <v>663</v>
      </c>
      <c r="D299" s="38" t="str">
        <f>'15 Administration og arbejdspla'!C38</f>
        <v>SUM</v>
      </c>
      <c r="E299" s="37">
        <f>'15 Administration og arbejdspla'!D38</f>
        <v>1</v>
      </c>
      <c r="F299" s="37">
        <f>'15 Administration og arbejdspla'!E38</f>
        <v>0</v>
      </c>
      <c r="G299" s="37">
        <f>'15 Administration og arbejdspla'!F38</f>
        <v>0</v>
      </c>
      <c r="H299" s="37">
        <f>'15 Administration og arbejdspla'!G38</f>
        <v>0</v>
      </c>
      <c r="I299" s="37">
        <f>'15 Administration og arbejdspla'!H38</f>
        <v>0</v>
      </c>
      <c r="J299" s="37">
        <f>'15 Administration og arbejdspla'!I38</f>
        <v>0</v>
      </c>
      <c r="K299" s="37">
        <f>'15 Administration og arbejdspla'!J38</f>
        <v>0</v>
      </c>
      <c r="L299" s="37">
        <f>'15 Administration og arbejdspla'!K38</f>
        <v>0</v>
      </c>
      <c r="M299" s="37">
        <f>'15 Administration og arbejdspla'!L38</f>
        <v>0</v>
      </c>
      <c r="N299" s="37">
        <f>'15 Administration og arbejdspla'!M38</f>
        <v>0</v>
      </c>
      <c r="O299" s="37">
        <f>'15 Administration og arbejdspla'!N38</f>
        <v>0</v>
      </c>
      <c r="P299" s="37">
        <f>'15 Administration og arbejdspla'!O38</f>
        <v>0</v>
      </c>
      <c r="Q299" s="37">
        <f>'15 Administration og arbejdspla'!P38</f>
        <v>0</v>
      </c>
      <c r="R299" s="37">
        <f>'15 Administration og arbejdspla'!Q38</f>
        <v>0</v>
      </c>
      <c r="S299" s="37">
        <f>'15 Administration og arbejdspla'!R38</f>
        <v>1</v>
      </c>
      <c r="T299" s="39">
        <f>'15 Administration og arbejdspla'!S38</f>
        <v>8765120</v>
      </c>
      <c r="U299" s="40">
        <f>'15 Administration og arbejdspla'!T38</f>
        <v>8765120</v>
      </c>
      <c r="V299" s="37" t="s">
        <v>98</v>
      </c>
      <c r="W299" s="37" t="s">
        <v>822</v>
      </c>
      <c r="X299" s="37" t="s">
        <v>98</v>
      </c>
    </row>
    <row r="300" spans="1:24" s="36" customFormat="1" x14ac:dyDescent="0.25">
      <c r="A300" s="28">
        <v>4</v>
      </c>
      <c r="B300" s="28" t="s">
        <v>665</v>
      </c>
      <c r="C300" s="28" t="s">
        <v>666</v>
      </c>
      <c r="D300" s="50" t="str">
        <f>'15 Administration og arbejdspla'!C39</f>
        <v/>
      </c>
      <c r="E300" s="28">
        <f>'15 Administration og arbejdspla'!D39</f>
        <v>0</v>
      </c>
      <c r="F300" s="28">
        <f>'15 Administration og arbejdspla'!E39</f>
        <v>0</v>
      </c>
      <c r="G300" s="28">
        <f>'15 Administration og arbejdspla'!F39</f>
        <v>0</v>
      </c>
      <c r="H300" s="28">
        <f>'15 Administration og arbejdspla'!G39</f>
        <v>0</v>
      </c>
      <c r="I300" s="28">
        <f>'15 Administration og arbejdspla'!H39</f>
        <v>0</v>
      </c>
      <c r="J300" s="28">
        <f>'15 Administration og arbejdspla'!I39</f>
        <v>0</v>
      </c>
      <c r="K300" s="28">
        <f>'15 Administration og arbejdspla'!J39</f>
        <v>0</v>
      </c>
      <c r="L300" s="28">
        <f>'15 Administration og arbejdspla'!K39</f>
        <v>0</v>
      </c>
      <c r="M300" s="28">
        <f>'15 Administration og arbejdspla'!L39</f>
        <v>0</v>
      </c>
      <c r="N300" s="28">
        <f>'15 Administration og arbejdspla'!M39</f>
        <v>0</v>
      </c>
      <c r="O300" s="28">
        <f>'15 Administration og arbejdspla'!N39</f>
        <v>0</v>
      </c>
      <c r="P300" s="28">
        <f>'15 Administration og arbejdspla'!O39</f>
        <v>0</v>
      </c>
      <c r="Q300" s="28">
        <f>'15 Administration og arbejdspla'!P39</f>
        <v>0</v>
      </c>
      <c r="R300" s="28">
        <f>'15 Administration og arbejdspla'!Q39</f>
        <v>0</v>
      </c>
      <c r="S300" s="28">
        <f>'15 Administration og arbejdspla'!R39</f>
        <v>0</v>
      </c>
      <c r="T300" s="51">
        <f>'15 Administration og arbejdspla'!S39</f>
        <v>0</v>
      </c>
      <c r="U300" s="52">
        <f>'15 Administration og arbejdspla'!T39</f>
        <v>0</v>
      </c>
      <c r="V300" s="28" t="s">
        <v>98</v>
      </c>
      <c r="W300" s="28" t="s">
        <v>98</v>
      </c>
      <c r="X300" s="28" t="s">
        <v>98</v>
      </c>
    </row>
    <row r="301" spans="1:24" s="37" customFormat="1" x14ac:dyDescent="0.25">
      <c r="A301" s="37">
        <v>5</v>
      </c>
      <c r="B301" s="37" t="s">
        <v>667</v>
      </c>
      <c r="C301" s="37" t="s">
        <v>666</v>
      </c>
      <c r="D301" s="38" t="str">
        <f>'15 Administration og arbejdspla'!C40</f>
        <v>SUM</v>
      </c>
      <c r="E301" s="37">
        <f>'15 Administration og arbejdspla'!D40</f>
        <v>1</v>
      </c>
      <c r="F301" s="37">
        <f>'15 Administration og arbejdspla'!E40</f>
        <v>0</v>
      </c>
      <c r="G301" s="37">
        <f>'15 Administration og arbejdspla'!F40</f>
        <v>0</v>
      </c>
      <c r="H301" s="37">
        <f>'15 Administration og arbejdspla'!G40</f>
        <v>0</v>
      </c>
      <c r="I301" s="37">
        <f>'15 Administration og arbejdspla'!H40</f>
        <v>0</v>
      </c>
      <c r="J301" s="37">
        <f>'15 Administration og arbejdspla'!I40</f>
        <v>0</v>
      </c>
      <c r="K301" s="37">
        <f>'15 Administration og arbejdspla'!J40</f>
        <v>0</v>
      </c>
      <c r="L301" s="37">
        <f>'15 Administration og arbejdspla'!K40</f>
        <v>0</v>
      </c>
      <c r="M301" s="37">
        <f>'15 Administration og arbejdspla'!L40</f>
        <v>0</v>
      </c>
      <c r="N301" s="37">
        <f>'15 Administration og arbejdspla'!M40</f>
        <v>0</v>
      </c>
      <c r="O301" s="37">
        <f>'15 Administration og arbejdspla'!N40</f>
        <v>0</v>
      </c>
      <c r="P301" s="37">
        <f>'15 Administration og arbejdspla'!O40</f>
        <v>0</v>
      </c>
      <c r="Q301" s="37">
        <f>'15 Administration og arbejdspla'!P40</f>
        <v>0</v>
      </c>
      <c r="R301" s="37">
        <f>'15 Administration og arbejdspla'!Q40</f>
        <v>0</v>
      </c>
      <c r="S301" s="37">
        <f>'15 Administration og arbejdspla'!R40</f>
        <v>1</v>
      </c>
      <c r="T301" s="39">
        <f>'15 Administration og arbejdspla'!S40</f>
        <v>8746692</v>
      </c>
      <c r="U301" s="40">
        <f>'15 Administration og arbejdspla'!T40</f>
        <v>8746692</v>
      </c>
      <c r="V301" s="37" t="s">
        <v>98</v>
      </c>
      <c r="W301" s="37" t="s">
        <v>822</v>
      </c>
      <c r="X301" s="37" t="s">
        <v>98</v>
      </c>
    </row>
    <row r="302" spans="1:24" s="36" customFormat="1" x14ac:dyDescent="0.25">
      <c r="A302" s="28">
        <v>4</v>
      </c>
      <c r="B302" s="28" t="s">
        <v>668</v>
      </c>
      <c r="C302" s="28" t="s">
        <v>669</v>
      </c>
      <c r="D302" s="50" t="str">
        <f>'15 Administration og arbejdspla'!C41</f>
        <v/>
      </c>
      <c r="E302" s="28">
        <f>'15 Administration og arbejdspla'!D41</f>
        <v>0</v>
      </c>
      <c r="F302" s="28">
        <f>'15 Administration og arbejdspla'!E41</f>
        <v>0</v>
      </c>
      <c r="G302" s="28">
        <f>'15 Administration og arbejdspla'!F41</f>
        <v>0</v>
      </c>
      <c r="H302" s="28">
        <f>'15 Administration og arbejdspla'!G41</f>
        <v>0</v>
      </c>
      <c r="I302" s="28">
        <f>'15 Administration og arbejdspla'!H41</f>
        <v>0</v>
      </c>
      <c r="J302" s="28">
        <f>'15 Administration og arbejdspla'!I41</f>
        <v>0</v>
      </c>
      <c r="K302" s="28">
        <f>'15 Administration og arbejdspla'!J41</f>
        <v>0</v>
      </c>
      <c r="L302" s="28">
        <f>'15 Administration og arbejdspla'!K41</f>
        <v>0</v>
      </c>
      <c r="M302" s="28">
        <f>'15 Administration og arbejdspla'!L41</f>
        <v>0</v>
      </c>
      <c r="N302" s="28">
        <f>'15 Administration og arbejdspla'!M41</f>
        <v>0</v>
      </c>
      <c r="O302" s="28">
        <f>'15 Administration og arbejdspla'!N41</f>
        <v>0</v>
      </c>
      <c r="P302" s="28">
        <f>'15 Administration og arbejdspla'!O41</f>
        <v>0</v>
      </c>
      <c r="Q302" s="28">
        <f>'15 Administration og arbejdspla'!P41</f>
        <v>0</v>
      </c>
      <c r="R302" s="28">
        <f>'15 Administration og arbejdspla'!Q41</f>
        <v>0</v>
      </c>
      <c r="S302" s="28">
        <f>'15 Administration og arbejdspla'!R41</f>
        <v>0</v>
      </c>
      <c r="T302" s="51">
        <f>'15 Administration og arbejdspla'!S41</f>
        <v>0</v>
      </c>
      <c r="U302" s="52">
        <f>'15 Administration og arbejdspla'!T41</f>
        <v>0</v>
      </c>
      <c r="V302" s="28" t="s">
        <v>98</v>
      </c>
      <c r="W302" s="28" t="s">
        <v>98</v>
      </c>
      <c r="X302" s="28" t="s">
        <v>98</v>
      </c>
    </row>
    <row r="303" spans="1:24" s="32" customFormat="1" ht="15.75" x14ac:dyDescent="0.25">
      <c r="A303" s="32">
        <v>3</v>
      </c>
      <c r="B303" s="32" t="s">
        <v>52</v>
      </c>
      <c r="C303" s="32" t="s">
        <v>53</v>
      </c>
      <c r="D303" s="33" t="str">
        <f>'16 Ændringsydelser'!C2</f>
        <v/>
      </c>
      <c r="E303" s="32">
        <f>'16 Ændringsydelser'!D2</f>
        <v>0</v>
      </c>
      <c r="F303" s="32">
        <f>'16 Ændringsydelser'!E2</f>
        <v>0</v>
      </c>
      <c r="G303" s="32">
        <f>'16 Ændringsydelser'!F2</f>
        <v>0</v>
      </c>
      <c r="H303" s="32">
        <f>'16 Ændringsydelser'!G2</f>
        <v>0</v>
      </c>
      <c r="I303" s="32">
        <f>'16 Ændringsydelser'!H2</f>
        <v>0</v>
      </c>
      <c r="J303" s="32">
        <f>'16 Ændringsydelser'!I2</f>
        <v>0</v>
      </c>
      <c r="K303" s="32">
        <f>'16 Ændringsydelser'!J2</f>
        <v>0</v>
      </c>
      <c r="L303" s="32">
        <f>'16 Ændringsydelser'!K2</f>
        <v>0</v>
      </c>
      <c r="M303" s="32">
        <f>'16 Ændringsydelser'!L2</f>
        <v>0</v>
      </c>
      <c r="N303" s="32">
        <f>'16 Ændringsydelser'!M2</f>
        <v>0</v>
      </c>
      <c r="O303" s="32">
        <f>'16 Ændringsydelser'!N2</f>
        <v>0</v>
      </c>
      <c r="P303" s="32">
        <f>'16 Ændringsydelser'!O2</f>
        <v>0</v>
      </c>
      <c r="Q303" s="32">
        <f>'16 Ændringsydelser'!P2</f>
        <v>0</v>
      </c>
      <c r="R303" s="32">
        <f>'16 Ændringsydelser'!Q2</f>
        <v>0</v>
      </c>
      <c r="S303" s="32">
        <f>'16 Ændringsydelser'!R2</f>
        <v>0</v>
      </c>
      <c r="T303" s="34">
        <f>'16 Ændringsydelser'!S2</f>
        <v>0</v>
      </c>
      <c r="U303" s="35">
        <f>'16 Ændringsydelser'!T2</f>
        <v>0</v>
      </c>
      <c r="V303" s="32" t="s">
        <v>98</v>
      </c>
      <c r="W303" s="32" t="s">
        <v>98</v>
      </c>
      <c r="X303" s="32" t="s">
        <v>98</v>
      </c>
    </row>
    <row r="304" spans="1:24" s="36" customFormat="1" x14ac:dyDescent="0.25">
      <c r="A304" s="28">
        <v>4</v>
      </c>
      <c r="B304" s="28" t="s">
        <v>670</v>
      </c>
      <c r="C304" s="28" t="s">
        <v>671</v>
      </c>
      <c r="D304" s="50" t="str">
        <f>'16 Ændringsydelser'!C3</f>
        <v/>
      </c>
      <c r="E304" s="28">
        <f>'16 Ændringsydelser'!D3</f>
        <v>0</v>
      </c>
      <c r="F304" s="28">
        <f>'16 Ændringsydelser'!E3</f>
        <v>0</v>
      </c>
      <c r="G304" s="28">
        <f>'16 Ændringsydelser'!F3</f>
        <v>0</v>
      </c>
      <c r="H304" s="28">
        <f>'16 Ændringsydelser'!G3</f>
        <v>0</v>
      </c>
      <c r="I304" s="28">
        <f>'16 Ændringsydelser'!H3</f>
        <v>0</v>
      </c>
      <c r="J304" s="28">
        <f>'16 Ændringsydelser'!I3</f>
        <v>0</v>
      </c>
      <c r="K304" s="28">
        <f>'16 Ændringsydelser'!J3</f>
        <v>0</v>
      </c>
      <c r="L304" s="28">
        <f>'16 Ændringsydelser'!K3</f>
        <v>0</v>
      </c>
      <c r="M304" s="28">
        <f>'16 Ændringsydelser'!L3</f>
        <v>0</v>
      </c>
      <c r="N304" s="28">
        <f>'16 Ændringsydelser'!M3</f>
        <v>0</v>
      </c>
      <c r="O304" s="28">
        <f>'16 Ændringsydelser'!N3</f>
        <v>0</v>
      </c>
      <c r="P304" s="28">
        <f>'16 Ændringsydelser'!O3</f>
        <v>0</v>
      </c>
      <c r="Q304" s="28">
        <f>'16 Ændringsydelser'!P3</f>
        <v>0</v>
      </c>
      <c r="R304" s="28">
        <f>'16 Ændringsydelser'!Q3</f>
        <v>0</v>
      </c>
      <c r="S304" s="28">
        <f>'16 Ændringsydelser'!R3</f>
        <v>0</v>
      </c>
      <c r="T304" s="51">
        <f>'16 Ændringsydelser'!S3</f>
        <v>0</v>
      </c>
      <c r="U304" s="52">
        <f>'16 Ændringsydelser'!T3</f>
        <v>0</v>
      </c>
      <c r="V304" s="28" t="s">
        <v>98</v>
      </c>
      <c r="W304" s="28" t="s">
        <v>98</v>
      </c>
      <c r="X304" s="28" t="s">
        <v>98</v>
      </c>
    </row>
    <row r="305" spans="1:24" s="37" customFormat="1" x14ac:dyDescent="0.25">
      <c r="A305" s="37">
        <v>5</v>
      </c>
      <c r="B305" s="37" t="s">
        <v>672</v>
      </c>
      <c r="C305" s="37" t="s">
        <v>673</v>
      </c>
      <c r="D305" s="38" t="str">
        <f>'16 Ændringsydelser'!C4</f>
        <v/>
      </c>
      <c r="E305" s="37">
        <f>'16 Ændringsydelser'!D4</f>
        <v>0</v>
      </c>
      <c r="F305" s="37">
        <f>'16 Ændringsydelser'!E4</f>
        <v>0</v>
      </c>
      <c r="G305" s="37">
        <f>'16 Ændringsydelser'!F4</f>
        <v>0</v>
      </c>
      <c r="H305" s="37">
        <f>'16 Ændringsydelser'!G4</f>
        <v>0</v>
      </c>
      <c r="I305" s="37">
        <f>'16 Ændringsydelser'!H4</f>
        <v>0</v>
      </c>
      <c r="J305" s="37">
        <f>'16 Ændringsydelser'!I4</f>
        <v>0</v>
      </c>
      <c r="K305" s="37">
        <f>'16 Ændringsydelser'!J4</f>
        <v>0</v>
      </c>
      <c r="L305" s="37">
        <f>'16 Ændringsydelser'!K4</f>
        <v>0</v>
      </c>
      <c r="M305" s="37">
        <f>'16 Ændringsydelser'!L4</f>
        <v>0</v>
      </c>
      <c r="N305" s="37">
        <f>'16 Ændringsydelser'!M4</f>
        <v>0</v>
      </c>
      <c r="O305" s="37">
        <f>'16 Ændringsydelser'!N4</f>
        <v>0</v>
      </c>
      <c r="P305" s="37">
        <f>'16 Ændringsydelser'!O4</f>
        <v>0</v>
      </c>
      <c r="Q305" s="37">
        <f>'16 Ændringsydelser'!P4</f>
        <v>0</v>
      </c>
      <c r="R305" s="37">
        <f>'16 Ændringsydelser'!Q4</f>
        <v>0</v>
      </c>
      <c r="S305" s="37">
        <f>'16 Ændringsydelser'!R4</f>
        <v>0</v>
      </c>
      <c r="T305" s="39">
        <f>'16 Ændringsydelser'!S4</f>
        <v>0</v>
      </c>
      <c r="U305" s="40">
        <f>'16 Ændringsydelser'!T4</f>
        <v>0</v>
      </c>
      <c r="V305" s="37" t="s">
        <v>98</v>
      </c>
      <c r="W305" s="37" t="s">
        <v>98</v>
      </c>
      <c r="X305" s="37" t="s">
        <v>98</v>
      </c>
    </row>
    <row r="306" spans="1:24" s="37" customFormat="1" x14ac:dyDescent="0.25">
      <c r="A306" s="37">
        <v>6</v>
      </c>
      <c r="B306" s="37" t="s">
        <v>674</v>
      </c>
      <c r="C306" s="37" t="s">
        <v>675</v>
      </c>
      <c r="D306" s="38" t="str">
        <f>'16 Ændringsydelser'!C5</f>
        <v>EAT</v>
      </c>
      <c r="E306" s="37">
        <f>'16 Ændringsydelser'!D5</f>
        <v>750</v>
      </c>
      <c r="F306" s="37">
        <f>'16 Ændringsydelser'!E5</f>
        <v>0</v>
      </c>
      <c r="G306" s="37">
        <f>'16 Ændringsydelser'!F5</f>
        <v>0</v>
      </c>
      <c r="H306" s="37">
        <f>'16 Ændringsydelser'!G5</f>
        <v>0</v>
      </c>
      <c r="I306" s="37">
        <f>'16 Ændringsydelser'!H5</f>
        <v>0</v>
      </c>
      <c r="J306" s="37">
        <f>'16 Ændringsydelser'!I5</f>
        <v>0</v>
      </c>
      <c r="K306" s="37">
        <f>'16 Ændringsydelser'!J5</f>
        <v>0</v>
      </c>
      <c r="L306" s="37">
        <f>'16 Ændringsydelser'!K5</f>
        <v>0</v>
      </c>
      <c r="M306" s="37">
        <f>'16 Ændringsydelser'!L5</f>
        <v>0</v>
      </c>
      <c r="N306" s="37">
        <f>'16 Ændringsydelser'!M5</f>
        <v>0</v>
      </c>
      <c r="O306" s="37">
        <f>'16 Ændringsydelser'!N5</f>
        <v>0</v>
      </c>
      <c r="P306" s="37">
        <f>'16 Ændringsydelser'!O5</f>
        <v>0</v>
      </c>
      <c r="Q306" s="37">
        <f>'16 Ændringsydelser'!P5</f>
        <v>0</v>
      </c>
      <c r="R306" s="37">
        <f>'16 Ændringsydelser'!Q5</f>
        <v>0</v>
      </c>
      <c r="S306" s="37">
        <f>'16 Ændringsydelser'!R5</f>
        <v>750</v>
      </c>
      <c r="T306" s="39">
        <f>'16 Ændringsydelser'!S5</f>
        <v>1</v>
      </c>
      <c r="U306" s="40">
        <f>'16 Ændringsydelser'!T5</f>
        <v>750</v>
      </c>
      <c r="V306" s="37" t="s">
        <v>98</v>
      </c>
      <c r="W306" s="37" t="s">
        <v>98</v>
      </c>
      <c r="X306" s="37" t="s">
        <v>98</v>
      </c>
    </row>
    <row r="307" spans="1:24" s="37" customFormat="1" x14ac:dyDescent="0.25">
      <c r="A307" s="37">
        <v>6</v>
      </c>
      <c r="B307" s="37" t="s">
        <v>677</v>
      </c>
      <c r="C307" s="37" t="s">
        <v>678</v>
      </c>
      <c r="D307" s="38" t="str">
        <f>'16 Ændringsydelser'!C6</f>
        <v>EAT</v>
      </c>
      <c r="E307" s="37">
        <f>'16 Ændringsydelser'!D6</f>
        <v>750</v>
      </c>
      <c r="F307" s="37">
        <f>'16 Ændringsydelser'!E6</f>
        <v>0</v>
      </c>
      <c r="G307" s="37">
        <f>'16 Ændringsydelser'!F6</f>
        <v>0</v>
      </c>
      <c r="H307" s="37">
        <f>'16 Ændringsydelser'!G6</f>
        <v>0</v>
      </c>
      <c r="I307" s="37">
        <f>'16 Ændringsydelser'!H6</f>
        <v>0</v>
      </c>
      <c r="J307" s="37">
        <f>'16 Ændringsydelser'!I6</f>
        <v>0</v>
      </c>
      <c r="K307" s="37">
        <f>'16 Ændringsydelser'!J6</f>
        <v>0</v>
      </c>
      <c r="L307" s="37">
        <f>'16 Ændringsydelser'!K6</f>
        <v>0</v>
      </c>
      <c r="M307" s="37">
        <f>'16 Ændringsydelser'!L6</f>
        <v>0</v>
      </c>
      <c r="N307" s="37">
        <f>'16 Ændringsydelser'!M6</f>
        <v>0</v>
      </c>
      <c r="O307" s="37">
        <f>'16 Ændringsydelser'!N6</f>
        <v>0</v>
      </c>
      <c r="P307" s="37">
        <f>'16 Ændringsydelser'!O6</f>
        <v>0</v>
      </c>
      <c r="Q307" s="37">
        <f>'16 Ændringsydelser'!P6</f>
        <v>0</v>
      </c>
      <c r="R307" s="37">
        <f>'16 Ændringsydelser'!Q6</f>
        <v>0</v>
      </c>
      <c r="S307" s="37">
        <f>'16 Ændringsydelser'!R6</f>
        <v>750</v>
      </c>
      <c r="T307" s="39">
        <f>'16 Ændringsydelser'!S6</f>
        <v>800</v>
      </c>
      <c r="U307" s="40">
        <f>'16 Ændringsydelser'!T6</f>
        <v>600000</v>
      </c>
      <c r="V307" s="37" t="s">
        <v>98</v>
      </c>
      <c r="W307" s="37" t="s">
        <v>98</v>
      </c>
      <c r="X307" s="37" t="s">
        <v>98</v>
      </c>
    </row>
    <row r="308" spans="1:24" s="37" customFormat="1" x14ac:dyDescent="0.25">
      <c r="A308" s="37">
        <v>6</v>
      </c>
      <c r="B308" s="37" t="s">
        <v>679</v>
      </c>
      <c r="C308" s="37" t="s">
        <v>680</v>
      </c>
      <c r="D308" s="38" t="str">
        <f>'16 Ændringsydelser'!C7</f>
        <v>EAT</v>
      </c>
      <c r="E308" s="37">
        <f>'16 Ændringsydelser'!D7</f>
        <v>750</v>
      </c>
      <c r="F308" s="37">
        <f>'16 Ændringsydelser'!E7</f>
        <v>0</v>
      </c>
      <c r="G308" s="37">
        <f>'16 Ændringsydelser'!F7</f>
        <v>0</v>
      </c>
      <c r="H308" s="37">
        <f>'16 Ændringsydelser'!G7</f>
        <v>0</v>
      </c>
      <c r="I308" s="37">
        <f>'16 Ændringsydelser'!H7</f>
        <v>0</v>
      </c>
      <c r="J308" s="37">
        <f>'16 Ændringsydelser'!I7</f>
        <v>0</v>
      </c>
      <c r="K308" s="37">
        <f>'16 Ændringsydelser'!J7</f>
        <v>0</v>
      </c>
      <c r="L308" s="37">
        <f>'16 Ændringsydelser'!K7</f>
        <v>0</v>
      </c>
      <c r="M308" s="37">
        <f>'16 Ændringsydelser'!L7</f>
        <v>0</v>
      </c>
      <c r="N308" s="37">
        <f>'16 Ændringsydelser'!M7</f>
        <v>0</v>
      </c>
      <c r="O308" s="37">
        <f>'16 Ændringsydelser'!N7</f>
        <v>0</v>
      </c>
      <c r="P308" s="37">
        <f>'16 Ændringsydelser'!O7</f>
        <v>0</v>
      </c>
      <c r="Q308" s="37">
        <f>'16 Ændringsydelser'!P7</f>
        <v>0</v>
      </c>
      <c r="R308" s="37">
        <f>'16 Ændringsydelser'!Q7</f>
        <v>0</v>
      </c>
      <c r="S308" s="37">
        <f>'16 Ændringsydelser'!R7</f>
        <v>750</v>
      </c>
      <c r="T308" s="39">
        <f>'16 Ændringsydelser'!S7</f>
        <v>800</v>
      </c>
      <c r="U308" s="40">
        <f>'16 Ændringsydelser'!T7</f>
        <v>600000</v>
      </c>
      <c r="V308" s="37" t="s">
        <v>98</v>
      </c>
      <c r="W308" s="37" t="s">
        <v>98</v>
      </c>
      <c r="X308" s="37" t="s">
        <v>98</v>
      </c>
    </row>
    <row r="309" spans="1:24" s="37" customFormat="1" x14ac:dyDescent="0.25">
      <c r="A309" s="37">
        <v>6</v>
      </c>
      <c r="B309" s="37" t="s">
        <v>681</v>
      </c>
      <c r="C309" s="37" t="s">
        <v>682</v>
      </c>
      <c r="D309" s="38" t="str">
        <f>'16 Ændringsydelser'!C8</f>
        <v>EAT</v>
      </c>
      <c r="E309" s="37">
        <f>'16 Ændringsydelser'!D8</f>
        <v>500</v>
      </c>
      <c r="F309" s="37">
        <f>'16 Ændringsydelser'!E8</f>
        <v>0</v>
      </c>
      <c r="G309" s="37">
        <f>'16 Ændringsydelser'!F8</f>
        <v>0</v>
      </c>
      <c r="H309" s="37">
        <f>'16 Ændringsydelser'!G8</f>
        <v>0</v>
      </c>
      <c r="I309" s="37">
        <f>'16 Ændringsydelser'!H8</f>
        <v>0</v>
      </c>
      <c r="J309" s="37">
        <f>'16 Ændringsydelser'!I8</f>
        <v>0</v>
      </c>
      <c r="K309" s="37">
        <f>'16 Ændringsydelser'!J8</f>
        <v>0</v>
      </c>
      <c r="L309" s="37">
        <f>'16 Ændringsydelser'!K8</f>
        <v>0</v>
      </c>
      <c r="M309" s="37">
        <f>'16 Ændringsydelser'!L8</f>
        <v>0</v>
      </c>
      <c r="N309" s="37">
        <f>'16 Ændringsydelser'!M8</f>
        <v>0</v>
      </c>
      <c r="O309" s="37">
        <f>'16 Ændringsydelser'!N8</f>
        <v>0</v>
      </c>
      <c r="P309" s="37">
        <f>'16 Ændringsydelser'!O8</f>
        <v>0</v>
      </c>
      <c r="Q309" s="37">
        <f>'16 Ændringsydelser'!P8</f>
        <v>0</v>
      </c>
      <c r="R309" s="37">
        <f>'16 Ændringsydelser'!Q8</f>
        <v>0</v>
      </c>
      <c r="S309" s="37">
        <f>'16 Ændringsydelser'!R8</f>
        <v>500</v>
      </c>
      <c r="T309" s="39">
        <f>'16 Ændringsydelser'!S8</f>
        <v>1</v>
      </c>
      <c r="U309" s="40">
        <f>'16 Ændringsydelser'!T8</f>
        <v>500</v>
      </c>
      <c r="V309" s="37" t="s">
        <v>98</v>
      </c>
      <c r="W309" s="37" t="s">
        <v>98</v>
      </c>
      <c r="X309" s="37" t="s">
        <v>98</v>
      </c>
    </row>
    <row r="310" spans="1:24" s="37" customFormat="1" x14ac:dyDescent="0.25">
      <c r="A310" s="37">
        <v>6</v>
      </c>
      <c r="B310" s="37" t="s">
        <v>683</v>
      </c>
      <c r="C310" s="37" t="s">
        <v>684</v>
      </c>
      <c r="D310" s="38" t="str">
        <f>'16 Ændringsydelser'!C9</f>
        <v>EAT</v>
      </c>
      <c r="E310" s="37">
        <f>'16 Ændringsydelser'!D9</f>
        <v>750</v>
      </c>
      <c r="F310" s="37">
        <f>'16 Ændringsydelser'!E9</f>
        <v>0</v>
      </c>
      <c r="G310" s="37">
        <f>'16 Ændringsydelser'!F9</f>
        <v>0</v>
      </c>
      <c r="H310" s="37">
        <f>'16 Ændringsydelser'!G9</f>
        <v>0</v>
      </c>
      <c r="I310" s="37">
        <f>'16 Ændringsydelser'!H9</f>
        <v>0</v>
      </c>
      <c r="J310" s="37">
        <f>'16 Ændringsydelser'!I9</f>
        <v>0</v>
      </c>
      <c r="K310" s="37">
        <f>'16 Ændringsydelser'!J9</f>
        <v>0</v>
      </c>
      <c r="L310" s="37">
        <f>'16 Ændringsydelser'!K9</f>
        <v>0</v>
      </c>
      <c r="M310" s="37">
        <f>'16 Ændringsydelser'!L9</f>
        <v>0</v>
      </c>
      <c r="N310" s="37">
        <f>'16 Ændringsydelser'!M9</f>
        <v>0</v>
      </c>
      <c r="O310" s="37">
        <f>'16 Ændringsydelser'!N9</f>
        <v>0</v>
      </c>
      <c r="P310" s="37">
        <f>'16 Ændringsydelser'!O9</f>
        <v>0</v>
      </c>
      <c r="Q310" s="37">
        <f>'16 Ændringsydelser'!P9</f>
        <v>0</v>
      </c>
      <c r="R310" s="37">
        <f>'16 Ændringsydelser'!Q9</f>
        <v>0</v>
      </c>
      <c r="S310" s="37">
        <f>'16 Ændringsydelser'!R9</f>
        <v>750</v>
      </c>
      <c r="T310" s="39">
        <f>'16 Ændringsydelser'!S9</f>
        <v>1</v>
      </c>
      <c r="U310" s="40">
        <f>'16 Ændringsydelser'!T9</f>
        <v>750</v>
      </c>
      <c r="V310" s="37" t="s">
        <v>98</v>
      </c>
      <c r="W310" s="37" t="s">
        <v>98</v>
      </c>
      <c r="X310" s="37" t="s">
        <v>98</v>
      </c>
    </row>
    <row r="311" spans="1:24" s="37" customFormat="1" x14ac:dyDescent="0.25">
      <c r="A311" s="37">
        <v>6</v>
      </c>
      <c r="B311" s="37" t="s">
        <v>685</v>
      </c>
      <c r="C311" s="37" t="s">
        <v>686</v>
      </c>
      <c r="D311" s="38" t="str">
        <f>'16 Ændringsydelser'!C10</f>
        <v>EAT</v>
      </c>
      <c r="E311" s="37">
        <f>'16 Ændringsydelser'!D10</f>
        <v>750</v>
      </c>
      <c r="F311" s="37">
        <f>'16 Ændringsydelser'!E10</f>
        <v>0</v>
      </c>
      <c r="G311" s="37">
        <f>'16 Ændringsydelser'!F10</f>
        <v>0</v>
      </c>
      <c r="H311" s="37">
        <f>'16 Ændringsydelser'!G10</f>
        <v>0</v>
      </c>
      <c r="I311" s="37">
        <f>'16 Ændringsydelser'!H10</f>
        <v>0</v>
      </c>
      <c r="J311" s="37">
        <f>'16 Ændringsydelser'!I10</f>
        <v>0</v>
      </c>
      <c r="K311" s="37">
        <f>'16 Ændringsydelser'!J10</f>
        <v>0</v>
      </c>
      <c r="L311" s="37">
        <f>'16 Ændringsydelser'!K10</f>
        <v>0</v>
      </c>
      <c r="M311" s="37">
        <f>'16 Ændringsydelser'!L10</f>
        <v>0</v>
      </c>
      <c r="N311" s="37">
        <f>'16 Ændringsydelser'!M10</f>
        <v>0</v>
      </c>
      <c r="O311" s="37">
        <f>'16 Ændringsydelser'!N10</f>
        <v>0</v>
      </c>
      <c r="P311" s="37">
        <f>'16 Ændringsydelser'!O10</f>
        <v>0</v>
      </c>
      <c r="Q311" s="37">
        <f>'16 Ændringsydelser'!P10</f>
        <v>0</v>
      </c>
      <c r="R311" s="37">
        <f>'16 Ændringsydelser'!Q10</f>
        <v>0</v>
      </c>
      <c r="S311" s="37">
        <f>'16 Ændringsydelser'!R10</f>
        <v>750</v>
      </c>
      <c r="T311" s="39">
        <f>'16 Ændringsydelser'!S10</f>
        <v>1</v>
      </c>
      <c r="U311" s="40">
        <f>'16 Ændringsydelser'!T10</f>
        <v>750</v>
      </c>
      <c r="V311" s="37" t="s">
        <v>98</v>
      </c>
      <c r="W311" s="37" t="s">
        <v>98</v>
      </c>
      <c r="X311" s="37" t="s">
        <v>98</v>
      </c>
    </row>
    <row r="312" spans="1:24" s="37" customFormat="1" x14ac:dyDescent="0.25">
      <c r="A312" s="37">
        <v>6</v>
      </c>
      <c r="B312" s="37" t="s">
        <v>687</v>
      </c>
      <c r="C312" s="37" t="s">
        <v>688</v>
      </c>
      <c r="D312" s="38" t="str">
        <f>'16 Ændringsydelser'!C11</f>
        <v>EAT</v>
      </c>
      <c r="E312" s="37">
        <f>'16 Ændringsydelser'!D11</f>
        <v>750</v>
      </c>
      <c r="F312" s="37">
        <f>'16 Ændringsydelser'!E11</f>
        <v>0</v>
      </c>
      <c r="G312" s="37">
        <f>'16 Ændringsydelser'!F11</f>
        <v>0</v>
      </c>
      <c r="H312" s="37">
        <f>'16 Ændringsydelser'!G11</f>
        <v>0</v>
      </c>
      <c r="I312" s="37">
        <f>'16 Ændringsydelser'!H11</f>
        <v>0</v>
      </c>
      <c r="J312" s="37">
        <f>'16 Ændringsydelser'!I11</f>
        <v>0</v>
      </c>
      <c r="K312" s="37">
        <f>'16 Ændringsydelser'!J11</f>
        <v>0</v>
      </c>
      <c r="L312" s="37">
        <f>'16 Ændringsydelser'!K11</f>
        <v>0</v>
      </c>
      <c r="M312" s="37">
        <f>'16 Ændringsydelser'!L11</f>
        <v>0</v>
      </c>
      <c r="N312" s="37">
        <f>'16 Ændringsydelser'!M11</f>
        <v>0</v>
      </c>
      <c r="O312" s="37">
        <f>'16 Ændringsydelser'!N11</f>
        <v>0</v>
      </c>
      <c r="P312" s="37">
        <f>'16 Ændringsydelser'!O11</f>
        <v>0</v>
      </c>
      <c r="Q312" s="37">
        <f>'16 Ændringsydelser'!P11</f>
        <v>0</v>
      </c>
      <c r="R312" s="37">
        <f>'16 Ændringsydelser'!Q11</f>
        <v>0</v>
      </c>
      <c r="S312" s="37">
        <f>'16 Ændringsydelser'!R11</f>
        <v>750</v>
      </c>
      <c r="T312" s="39">
        <f>'16 Ændringsydelser'!S11</f>
        <v>900</v>
      </c>
      <c r="U312" s="40">
        <f>'16 Ændringsydelser'!T11</f>
        <v>675000</v>
      </c>
      <c r="V312" s="37" t="s">
        <v>98</v>
      </c>
      <c r="W312" s="37" t="s">
        <v>98</v>
      </c>
      <c r="X312" s="37" t="s">
        <v>98</v>
      </c>
    </row>
    <row r="313" spans="1:24" s="37" customFormat="1" x14ac:dyDescent="0.25">
      <c r="A313" s="37">
        <v>6</v>
      </c>
      <c r="B313" s="37" t="s">
        <v>689</v>
      </c>
      <c r="C313" s="37" t="s">
        <v>690</v>
      </c>
      <c r="D313" s="38" t="str">
        <f>'16 Ændringsydelser'!C12</f>
        <v>EAT</v>
      </c>
      <c r="E313" s="37">
        <f>'16 Ændringsydelser'!D12</f>
        <v>750</v>
      </c>
      <c r="F313" s="37">
        <f>'16 Ændringsydelser'!E12</f>
        <v>0</v>
      </c>
      <c r="G313" s="37">
        <f>'16 Ændringsydelser'!F12</f>
        <v>0</v>
      </c>
      <c r="H313" s="37">
        <f>'16 Ændringsydelser'!G12</f>
        <v>0</v>
      </c>
      <c r="I313" s="37">
        <f>'16 Ændringsydelser'!H12</f>
        <v>0</v>
      </c>
      <c r="J313" s="37">
        <f>'16 Ændringsydelser'!I12</f>
        <v>0</v>
      </c>
      <c r="K313" s="37">
        <f>'16 Ændringsydelser'!J12</f>
        <v>0</v>
      </c>
      <c r="L313" s="37">
        <f>'16 Ændringsydelser'!K12</f>
        <v>0</v>
      </c>
      <c r="M313" s="37">
        <f>'16 Ændringsydelser'!L12</f>
        <v>0</v>
      </c>
      <c r="N313" s="37">
        <f>'16 Ændringsydelser'!M12</f>
        <v>0</v>
      </c>
      <c r="O313" s="37">
        <f>'16 Ændringsydelser'!N12</f>
        <v>0</v>
      </c>
      <c r="P313" s="37">
        <f>'16 Ændringsydelser'!O12</f>
        <v>0</v>
      </c>
      <c r="Q313" s="37">
        <f>'16 Ændringsydelser'!P12</f>
        <v>0</v>
      </c>
      <c r="R313" s="37">
        <f>'16 Ændringsydelser'!Q12</f>
        <v>0</v>
      </c>
      <c r="S313" s="37">
        <f>'16 Ændringsydelser'!R12</f>
        <v>750</v>
      </c>
      <c r="T313" s="39">
        <f>'16 Ændringsydelser'!S12</f>
        <v>1250</v>
      </c>
      <c r="U313" s="40">
        <f>'16 Ændringsydelser'!T12</f>
        <v>937500</v>
      </c>
      <c r="V313" s="37" t="s">
        <v>98</v>
      </c>
      <c r="W313" s="37" t="s">
        <v>98</v>
      </c>
      <c r="X313" s="37" t="s">
        <v>98</v>
      </c>
    </row>
    <row r="314" spans="1:24" s="37" customFormat="1" x14ac:dyDescent="0.25">
      <c r="A314" s="37">
        <v>6</v>
      </c>
      <c r="B314" s="37" t="s">
        <v>691</v>
      </c>
      <c r="C314" s="37" t="s">
        <v>692</v>
      </c>
      <c r="D314" s="38" t="str">
        <f>'16 Ændringsydelser'!C13</f>
        <v>EAT</v>
      </c>
      <c r="E314" s="37">
        <f>'16 Ændringsydelser'!D13</f>
        <v>250</v>
      </c>
      <c r="F314" s="37">
        <f>'16 Ændringsydelser'!E13</f>
        <v>0</v>
      </c>
      <c r="G314" s="37">
        <f>'16 Ændringsydelser'!F13</f>
        <v>0</v>
      </c>
      <c r="H314" s="37">
        <f>'16 Ændringsydelser'!G13</f>
        <v>0</v>
      </c>
      <c r="I314" s="37">
        <f>'16 Ændringsydelser'!H13</f>
        <v>0</v>
      </c>
      <c r="J314" s="37">
        <f>'16 Ændringsydelser'!I13</f>
        <v>0</v>
      </c>
      <c r="K314" s="37">
        <f>'16 Ændringsydelser'!J13</f>
        <v>0</v>
      </c>
      <c r="L314" s="37">
        <f>'16 Ændringsydelser'!K13</f>
        <v>0</v>
      </c>
      <c r="M314" s="37">
        <f>'16 Ændringsydelser'!L13</f>
        <v>0</v>
      </c>
      <c r="N314" s="37">
        <f>'16 Ændringsydelser'!M13</f>
        <v>0</v>
      </c>
      <c r="O314" s="37">
        <f>'16 Ændringsydelser'!N13</f>
        <v>0</v>
      </c>
      <c r="P314" s="37">
        <f>'16 Ændringsydelser'!O13</f>
        <v>0</v>
      </c>
      <c r="Q314" s="37">
        <f>'16 Ændringsydelser'!P13</f>
        <v>0</v>
      </c>
      <c r="R314" s="37">
        <f>'16 Ændringsydelser'!Q13</f>
        <v>0</v>
      </c>
      <c r="S314" s="37">
        <f>'16 Ændringsydelser'!R13</f>
        <v>250</v>
      </c>
      <c r="T314" s="39">
        <f>'16 Ændringsydelser'!S13</f>
        <v>1</v>
      </c>
      <c r="U314" s="40">
        <f>'16 Ændringsydelser'!T13</f>
        <v>250</v>
      </c>
      <c r="V314" s="37" t="s">
        <v>98</v>
      </c>
      <c r="W314" s="37" t="s">
        <v>98</v>
      </c>
      <c r="X314" s="37" t="s">
        <v>98</v>
      </c>
    </row>
    <row r="315" spans="1:24" s="37" customFormat="1" x14ac:dyDescent="0.25">
      <c r="A315" s="37">
        <v>6</v>
      </c>
      <c r="B315" s="37" t="s">
        <v>693</v>
      </c>
      <c r="C315" s="37" t="s">
        <v>694</v>
      </c>
      <c r="D315" s="38" t="str">
        <f>'16 Ændringsydelser'!C14</f>
        <v>EAT</v>
      </c>
      <c r="E315" s="37">
        <f>'16 Ændringsydelser'!D14</f>
        <v>250</v>
      </c>
      <c r="F315" s="37">
        <f>'16 Ændringsydelser'!E14</f>
        <v>0</v>
      </c>
      <c r="G315" s="37">
        <f>'16 Ændringsydelser'!F14</f>
        <v>0</v>
      </c>
      <c r="H315" s="37">
        <f>'16 Ændringsydelser'!G14</f>
        <v>0</v>
      </c>
      <c r="I315" s="37">
        <f>'16 Ændringsydelser'!H14</f>
        <v>0</v>
      </c>
      <c r="J315" s="37">
        <f>'16 Ændringsydelser'!I14</f>
        <v>0</v>
      </c>
      <c r="K315" s="37">
        <f>'16 Ændringsydelser'!J14</f>
        <v>0</v>
      </c>
      <c r="L315" s="37">
        <f>'16 Ændringsydelser'!K14</f>
        <v>0</v>
      </c>
      <c r="M315" s="37">
        <f>'16 Ændringsydelser'!L14</f>
        <v>0</v>
      </c>
      <c r="N315" s="37">
        <f>'16 Ændringsydelser'!M14</f>
        <v>0</v>
      </c>
      <c r="O315" s="37">
        <f>'16 Ændringsydelser'!N14</f>
        <v>0</v>
      </c>
      <c r="P315" s="37">
        <f>'16 Ændringsydelser'!O14</f>
        <v>0</v>
      </c>
      <c r="Q315" s="37">
        <f>'16 Ændringsydelser'!P14</f>
        <v>0</v>
      </c>
      <c r="R315" s="37">
        <f>'16 Ændringsydelser'!Q14</f>
        <v>0</v>
      </c>
      <c r="S315" s="37">
        <f>'16 Ændringsydelser'!R14</f>
        <v>250</v>
      </c>
      <c r="T315" s="39">
        <f>'16 Ændringsydelser'!S14</f>
        <v>800</v>
      </c>
      <c r="U315" s="40">
        <f>'16 Ændringsydelser'!T14</f>
        <v>200000</v>
      </c>
      <c r="V315" s="37" t="s">
        <v>98</v>
      </c>
      <c r="W315" s="37" t="s">
        <v>98</v>
      </c>
      <c r="X315" s="37" t="s">
        <v>98</v>
      </c>
    </row>
    <row r="316" spans="1:24" s="37" customFormat="1" x14ac:dyDescent="0.25">
      <c r="A316" s="37">
        <v>6</v>
      </c>
      <c r="B316" s="37" t="s">
        <v>695</v>
      </c>
      <c r="C316" s="37" t="s">
        <v>696</v>
      </c>
      <c r="D316" s="38" t="str">
        <f>'16 Ændringsydelser'!C15</f>
        <v>EAT</v>
      </c>
      <c r="E316" s="37">
        <f>'16 Ændringsydelser'!D15</f>
        <v>500</v>
      </c>
      <c r="F316" s="37">
        <f>'16 Ændringsydelser'!E15</f>
        <v>0</v>
      </c>
      <c r="G316" s="37">
        <f>'16 Ændringsydelser'!F15</f>
        <v>0</v>
      </c>
      <c r="H316" s="37">
        <f>'16 Ændringsydelser'!G15</f>
        <v>0</v>
      </c>
      <c r="I316" s="37">
        <f>'16 Ændringsydelser'!H15</f>
        <v>0</v>
      </c>
      <c r="J316" s="37">
        <f>'16 Ændringsydelser'!I15</f>
        <v>0</v>
      </c>
      <c r="K316" s="37">
        <f>'16 Ændringsydelser'!J15</f>
        <v>0</v>
      </c>
      <c r="L316" s="37">
        <f>'16 Ændringsydelser'!K15</f>
        <v>0</v>
      </c>
      <c r="M316" s="37">
        <f>'16 Ændringsydelser'!L15</f>
        <v>0</v>
      </c>
      <c r="N316" s="37">
        <f>'16 Ændringsydelser'!M15</f>
        <v>0</v>
      </c>
      <c r="O316" s="37">
        <f>'16 Ændringsydelser'!N15</f>
        <v>0</v>
      </c>
      <c r="P316" s="37">
        <f>'16 Ændringsydelser'!O15</f>
        <v>0</v>
      </c>
      <c r="Q316" s="37">
        <f>'16 Ændringsydelser'!P15</f>
        <v>0</v>
      </c>
      <c r="R316" s="37">
        <f>'16 Ændringsydelser'!Q15</f>
        <v>0</v>
      </c>
      <c r="S316" s="37">
        <f>'16 Ændringsydelser'!R15</f>
        <v>500</v>
      </c>
      <c r="T316" s="39">
        <f>'16 Ændringsydelser'!S15</f>
        <v>1000</v>
      </c>
      <c r="U316" s="40">
        <f>'16 Ændringsydelser'!T15</f>
        <v>500000</v>
      </c>
      <c r="V316" s="37" t="s">
        <v>98</v>
      </c>
      <c r="W316" s="37" t="s">
        <v>98</v>
      </c>
      <c r="X316" s="37" t="s">
        <v>98</v>
      </c>
    </row>
    <row r="317" spans="1:24" s="37" customFormat="1" x14ac:dyDescent="0.25">
      <c r="A317" s="37">
        <v>6</v>
      </c>
      <c r="B317" s="37" t="s">
        <v>697</v>
      </c>
      <c r="C317" s="37" t="s">
        <v>698</v>
      </c>
      <c r="D317" s="38" t="str">
        <f>'16 Ændringsydelser'!C16</f>
        <v>EAT</v>
      </c>
      <c r="E317" s="37">
        <f>'16 Ændringsydelser'!D16</f>
        <v>1000</v>
      </c>
      <c r="F317" s="37">
        <f>'16 Ændringsydelser'!E16</f>
        <v>0</v>
      </c>
      <c r="G317" s="37">
        <f>'16 Ændringsydelser'!F16</f>
        <v>0</v>
      </c>
      <c r="H317" s="37">
        <f>'16 Ændringsydelser'!G16</f>
        <v>0</v>
      </c>
      <c r="I317" s="37">
        <f>'16 Ændringsydelser'!H16</f>
        <v>0</v>
      </c>
      <c r="J317" s="37">
        <f>'16 Ændringsydelser'!I16</f>
        <v>0</v>
      </c>
      <c r="K317" s="37">
        <f>'16 Ændringsydelser'!J16</f>
        <v>0</v>
      </c>
      <c r="L317" s="37">
        <f>'16 Ændringsydelser'!K16</f>
        <v>0</v>
      </c>
      <c r="M317" s="37">
        <f>'16 Ændringsydelser'!L16</f>
        <v>0</v>
      </c>
      <c r="N317" s="37">
        <f>'16 Ændringsydelser'!M16</f>
        <v>0</v>
      </c>
      <c r="O317" s="37">
        <f>'16 Ændringsydelser'!N16</f>
        <v>0</v>
      </c>
      <c r="P317" s="37">
        <f>'16 Ændringsydelser'!O16</f>
        <v>0</v>
      </c>
      <c r="Q317" s="37">
        <f>'16 Ændringsydelser'!P16</f>
        <v>0</v>
      </c>
      <c r="R317" s="37">
        <f>'16 Ændringsydelser'!Q16</f>
        <v>0</v>
      </c>
      <c r="S317" s="37">
        <f>'16 Ændringsydelser'!R16</f>
        <v>1000</v>
      </c>
      <c r="T317" s="39">
        <f>'16 Ændringsydelser'!S16</f>
        <v>700</v>
      </c>
      <c r="U317" s="40">
        <f>'16 Ændringsydelser'!T16</f>
        <v>700000</v>
      </c>
      <c r="V317" s="37" t="s">
        <v>98</v>
      </c>
      <c r="W317" s="37" t="s">
        <v>98</v>
      </c>
      <c r="X317" s="37" t="s">
        <v>98</v>
      </c>
    </row>
    <row r="318" spans="1:24" s="37" customFormat="1" x14ac:dyDescent="0.25">
      <c r="A318" s="37">
        <v>6</v>
      </c>
      <c r="B318" s="37" t="s">
        <v>699</v>
      </c>
      <c r="C318" s="37" t="s">
        <v>700</v>
      </c>
      <c r="D318" s="38" t="str">
        <f>'16 Ændringsydelser'!C17</f>
        <v>EAT</v>
      </c>
      <c r="E318" s="37">
        <f>'16 Ændringsydelser'!D17</f>
        <v>1000</v>
      </c>
      <c r="F318" s="37">
        <f>'16 Ændringsydelser'!E17</f>
        <v>0</v>
      </c>
      <c r="G318" s="37">
        <f>'16 Ændringsydelser'!F17</f>
        <v>0</v>
      </c>
      <c r="H318" s="37">
        <f>'16 Ændringsydelser'!G17</f>
        <v>0</v>
      </c>
      <c r="I318" s="37">
        <f>'16 Ændringsydelser'!H17</f>
        <v>0</v>
      </c>
      <c r="J318" s="37">
        <f>'16 Ændringsydelser'!I17</f>
        <v>0</v>
      </c>
      <c r="K318" s="37">
        <f>'16 Ændringsydelser'!J17</f>
        <v>0</v>
      </c>
      <c r="L318" s="37">
        <f>'16 Ændringsydelser'!K17</f>
        <v>0</v>
      </c>
      <c r="M318" s="37">
        <f>'16 Ændringsydelser'!L17</f>
        <v>0</v>
      </c>
      <c r="N318" s="37">
        <f>'16 Ændringsydelser'!M17</f>
        <v>0</v>
      </c>
      <c r="O318" s="37">
        <f>'16 Ændringsydelser'!N17</f>
        <v>0</v>
      </c>
      <c r="P318" s="37">
        <f>'16 Ændringsydelser'!O17</f>
        <v>0</v>
      </c>
      <c r="Q318" s="37">
        <f>'16 Ændringsydelser'!P17</f>
        <v>0</v>
      </c>
      <c r="R318" s="37">
        <f>'16 Ændringsydelser'!Q17</f>
        <v>0</v>
      </c>
      <c r="S318" s="37">
        <f>'16 Ændringsydelser'!R17</f>
        <v>1000</v>
      </c>
      <c r="T318" s="39">
        <f>'16 Ændringsydelser'!S17</f>
        <v>700</v>
      </c>
      <c r="U318" s="40">
        <f>'16 Ændringsydelser'!T17</f>
        <v>700000</v>
      </c>
      <c r="V318" s="37" t="s">
        <v>98</v>
      </c>
      <c r="W318" s="37" t="s">
        <v>98</v>
      </c>
      <c r="X318" s="37" t="s">
        <v>98</v>
      </c>
    </row>
    <row r="319" spans="1:24" s="37" customFormat="1" x14ac:dyDescent="0.25">
      <c r="A319" s="37">
        <v>6</v>
      </c>
      <c r="B319" s="37" t="s">
        <v>701</v>
      </c>
      <c r="C319" s="37" t="s">
        <v>702</v>
      </c>
      <c r="D319" s="38" t="str">
        <f>'16 Ændringsydelser'!C18</f>
        <v>EAT</v>
      </c>
      <c r="E319" s="37">
        <f>'16 Ændringsydelser'!D18</f>
        <v>250</v>
      </c>
      <c r="F319" s="37">
        <f>'16 Ændringsydelser'!E18</f>
        <v>0</v>
      </c>
      <c r="G319" s="37">
        <f>'16 Ændringsydelser'!F18</f>
        <v>0</v>
      </c>
      <c r="H319" s="37">
        <f>'16 Ændringsydelser'!G18</f>
        <v>0</v>
      </c>
      <c r="I319" s="37">
        <f>'16 Ændringsydelser'!H18</f>
        <v>0</v>
      </c>
      <c r="J319" s="37">
        <f>'16 Ændringsydelser'!I18</f>
        <v>0</v>
      </c>
      <c r="K319" s="37">
        <f>'16 Ændringsydelser'!J18</f>
        <v>0</v>
      </c>
      <c r="L319" s="37">
        <f>'16 Ændringsydelser'!K18</f>
        <v>0</v>
      </c>
      <c r="M319" s="37">
        <f>'16 Ændringsydelser'!L18</f>
        <v>0</v>
      </c>
      <c r="N319" s="37">
        <f>'16 Ændringsydelser'!M18</f>
        <v>0</v>
      </c>
      <c r="O319" s="37">
        <f>'16 Ændringsydelser'!N18</f>
        <v>0</v>
      </c>
      <c r="P319" s="37">
        <f>'16 Ændringsydelser'!O18</f>
        <v>0</v>
      </c>
      <c r="Q319" s="37">
        <f>'16 Ændringsydelser'!P18</f>
        <v>0</v>
      </c>
      <c r="R319" s="37">
        <f>'16 Ændringsydelser'!Q18</f>
        <v>0</v>
      </c>
      <c r="S319" s="37">
        <f>'16 Ændringsydelser'!R18</f>
        <v>250</v>
      </c>
      <c r="T319" s="39">
        <f>'16 Ændringsydelser'!S18</f>
        <v>1</v>
      </c>
      <c r="U319" s="40">
        <f>'16 Ændringsydelser'!T18</f>
        <v>250</v>
      </c>
      <c r="V319" s="37" t="s">
        <v>98</v>
      </c>
      <c r="W319" s="37" t="s">
        <v>98</v>
      </c>
      <c r="X319" s="37" t="s">
        <v>98</v>
      </c>
    </row>
    <row r="320" spans="1:24" s="37" customFormat="1" x14ac:dyDescent="0.25">
      <c r="A320" s="37">
        <v>6</v>
      </c>
      <c r="B320" s="37" t="s">
        <v>703</v>
      </c>
      <c r="C320" s="37" t="s">
        <v>704</v>
      </c>
      <c r="D320" s="38" t="str">
        <f>'16 Ændringsydelser'!C19</f>
        <v>EAT</v>
      </c>
      <c r="E320" s="37">
        <f>'16 Ændringsydelser'!D19</f>
        <v>250</v>
      </c>
      <c r="F320" s="37">
        <f>'16 Ændringsydelser'!E19</f>
        <v>0</v>
      </c>
      <c r="G320" s="37">
        <f>'16 Ændringsydelser'!F19</f>
        <v>0</v>
      </c>
      <c r="H320" s="37">
        <f>'16 Ændringsydelser'!G19</f>
        <v>0</v>
      </c>
      <c r="I320" s="37">
        <f>'16 Ændringsydelser'!H19</f>
        <v>0</v>
      </c>
      <c r="J320" s="37">
        <f>'16 Ændringsydelser'!I19</f>
        <v>0</v>
      </c>
      <c r="K320" s="37">
        <f>'16 Ændringsydelser'!J19</f>
        <v>0</v>
      </c>
      <c r="L320" s="37">
        <f>'16 Ændringsydelser'!K19</f>
        <v>0</v>
      </c>
      <c r="M320" s="37">
        <f>'16 Ændringsydelser'!L19</f>
        <v>0</v>
      </c>
      <c r="N320" s="37">
        <f>'16 Ændringsydelser'!M19</f>
        <v>0</v>
      </c>
      <c r="O320" s="37">
        <f>'16 Ændringsydelser'!N19</f>
        <v>0</v>
      </c>
      <c r="P320" s="37">
        <f>'16 Ændringsydelser'!O19</f>
        <v>0</v>
      </c>
      <c r="Q320" s="37">
        <f>'16 Ændringsydelser'!P19</f>
        <v>0</v>
      </c>
      <c r="R320" s="37">
        <f>'16 Ændringsydelser'!Q19</f>
        <v>0</v>
      </c>
      <c r="S320" s="37">
        <f>'16 Ændringsydelser'!R19</f>
        <v>250</v>
      </c>
      <c r="T320" s="39">
        <f>'16 Ændringsydelser'!S19</f>
        <v>1</v>
      </c>
      <c r="U320" s="40">
        <f>'16 Ændringsydelser'!T19</f>
        <v>250</v>
      </c>
      <c r="V320" s="37" t="s">
        <v>98</v>
      </c>
      <c r="W320" s="37" t="s">
        <v>98</v>
      </c>
      <c r="X320" s="37" t="s">
        <v>98</v>
      </c>
    </row>
    <row r="321" spans="1:24" s="36" customFormat="1" x14ac:dyDescent="0.25">
      <c r="A321" s="28">
        <v>4</v>
      </c>
      <c r="B321" s="28" t="s">
        <v>705</v>
      </c>
      <c r="C321" s="28" t="s">
        <v>706</v>
      </c>
      <c r="D321" s="50" t="str">
        <f>'16 Ændringsydelser'!C20</f>
        <v/>
      </c>
      <c r="E321" s="28">
        <f>'16 Ændringsydelser'!D20</f>
        <v>0</v>
      </c>
      <c r="F321" s="28">
        <f>'16 Ændringsydelser'!E20</f>
        <v>0</v>
      </c>
      <c r="G321" s="28">
        <f>'16 Ændringsydelser'!F20</f>
        <v>0</v>
      </c>
      <c r="H321" s="28">
        <f>'16 Ændringsydelser'!G20</f>
        <v>0</v>
      </c>
      <c r="I321" s="28">
        <f>'16 Ændringsydelser'!H20</f>
        <v>0</v>
      </c>
      <c r="J321" s="28">
        <f>'16 Ændringsydelser'!I20</f>
        <v>0</v>
      </c>
      <c r="K321" s="28">
        <f>'16 Ændringsydelser'!J20</f>
        <v>0</v>
      </c>
      <c r="L321" s="28">
        <f>'16 Ændringsydelser'!K20</f>
        <v>0</v>
      </c>
      <c r="M321" s="28">
        <f>'16 Ændringsydelser'!L20</f>
        <v>0</v>
      </c>
      <c r="N321" s="28">
        <f>'16 Ændringsydelser'!M20</f>
        <v>0</v>
      </c>
      <c r="O321" s="28">
        <f>'16 Ændringsydelser'!N20</f>
        <v>0</v>
      </c>
      <c r="P321" s="28">
        <f>'16 Ændringsydelser'!O20</f>
        <v>0</v>
      </c>
      <c r="Q321" s="28">
        <f>'16 Ændringsydelser'!P20</f>
        <v>0</v>
      </c>
      <c r="R321" s="28">
        <f>'16 Ændringsydelser'!Q20</f>
        <v>0</v>
      </c>
      <c r="S321" s="28">
        <f>'16 Ændringsydelser'!R20</f>
        <v>0</v>
      </c>
      <c r="T321" s="51">
        <f>'16 Ændringsydelser'!S20</f>
        <v>0</v>
      </c>
      <c r="U321" s="52">
        <f>'16 Ændringsydelser'!T20</f>
        <v>0</v>
      </c>
      <c r="V321" s="28" t="s">
        <v>98</v>
      </c>
      <c r="W321" s="28" t="s">
        <v>98</v>
      </c>
      <c r="X321" s="28" t="s">
        <v>98</v>
      </c>
    </row>
    <row r="322" spans="1:24" s="37" customFormat="1" x14ac:dyDescent="0.25">
      <c r="A322" s="37">
        <v>5</v>
      </c>
      <c r="B322" s="37" t="s">
        <v>707</v>
      </c>
      <c r="C322" s="37" t="s">
        <v>708</v>
      </c>
      <c r="D322" s="38" t="str">
        <f>'16 Ændringsydelser'!C21</f>
        <v/>
      </c>
      <c r="E322" s="37">
        <f>'16 Ændringsydelser'!D21</f>
        <v>0</v>
      </c>
      <c r="F322" s="37">
        <f>'16 Ændringsydelser'!E21</f>
        <v>0</v>
      </c>
      <c r="G322" s="37">
        <f>'16 Ændringsydelser'!F21</f>
        <v>0</v>
      </c>
      <c r="H322" s="37">
        <f>'16 Ændringsydelser'!G21</f>
        <v>0</v>
      </c>
      <c r="I322" s="37">
        <f>'16 Ændringsydelser'!H21</f>
        <v>0</v>
      </c>
      <c r="J322" s="37">
        <f>'16 Ændringsydelser'!I21</f>
        <v>0</v>
      </c>
      <c r="K322" s="37">
        <f>'16 Ændringsydelser'!J21</f>
        <v>0</v>
      </c>
      <c r="L322" s="37">
        <f>'16 Ændringsydelser'!K21</f>
        <v>0</v>
      </c>
      <c r="M322" s="37">
        <f>'16 Ændringsydelser'!L21</f>
        <v>0</v>
      </c>
      <c r="N322" s="37">
        <f>'16 Ændringsydelser'!M21</f>
        <v>0</v>
      </c>
      <c r="O322" s="37">
        <f>'16 Ændringsydelser'!N21</f>
        <v>0</v>
      </c>
      <c r="P322" s="37">
        <f>'16 Ændringsydelser'!O21</f>
        <v>0</v>
      </c>
      <c r="Q322" s="37">
        <f>'16 Ændringsydelser'!P21</f>
        <v>0</v>
      </c>
      <c r="R322" s="37">
        <f>'16 Ændringsydelser'!Q21</f>
        <v>0</v>
      </c>
      <c r="S322" s="37">
        <f>'16 Ændringsydelser'!R21</f>
        <v>0</v>
      </c>
      <c r="T322" s="39">
        <f>'16 Ændringsydelser'!S21</f>
        <v>0</v>
      </c>
      <c r="U322" s="40">
        <f>'16 Ændringsydelser'!T21</f>
        <v>0</v>
      </c>
      <c r="V322" s="37" t="s">
        <v>98</v>
      </c>
      <c r="W322" s="37" t="s">
        <v>98</v>
      </c>
      <c r="X322" s="37" t="s">
        <v>98</v>
      </c>
    </row>
    <row r="323" spans="1:24" s="37" customFormat="1" x14ac:dyDescent="0.25">
      <c r="A323" s="37">
        <v>6</v>
      </c>
      <c r="B323" s="37" t="s">
        <v>709</v>
      </c>
      <c r="C323" s="37" t="s">
        <v>710</v>
      </c>
      <c r="D323" s="38" t="str">
        <f>'16 Ændringsydelser'!C22</f>
        <v>KM</v>
      </c>
      <c r="E323" s="37">
        <f>'16 Ændringsydelser'!D22</f>
        <v>4</v>
      </c>
      <c r="F323" s="37">
        <f>'16 Ændringsydelser'!E22</f>
        <v>0</v>
      </c>
      <c r="G323" s="37">
        <f>'16 Ændringsydelser'!F22</f>
        <v>0</v>
      </c>
      <c r="H323" s="37">
        <f>'16 Ændringsydelser'!G22</f>
        <v>0</v>
      </c>
      <c r="I323" s="37">
        <f>'16 Ændringsydelser'!H22</f>
        <v>0</v>
      </c>
      <c r="J323" s="37">
        <f>'16 Ændringsydelser'!I22</f>
        <v>0</v>
      </c>
      <c r="K323" s="37">
        <f>'16 Ændringsydelser'!J22</f>
        <v>0</v>
      </c>
      <c r="L323" s="37">
        <f>'16 Ændringsydelser'!K22</f>
        <v>0</v>
      </c>
      <c r="M323" s="37">
        <f>'16 Ændringsydelser'!L22</f>
        <v>0</v>
      </c>
      <c r="N323" s="37">
        <f>'16 Ændringsydelser'!M22</f>
        <v>0</v>
      </c>
      <c r="O323" s="37">
        <f>'16 Ændringsydelser'!N22</f>
        <v>0</v>
      </c>
      <c r="P323" s="37">
        <f>'16 Ændringsydelser'!O22</f>
        <v>0</v>
      </c>
      <c r="Q323" s="37">
        <f>'16 Ændringsydelser'!P22</f>
        <v>0</v>
      </c>
      <c r="R323" s="37">
        <f>'16 Ændringsydelser'!Q22</f>
        <v>0</v>
      </c>
      <c r="S323" s="37">
        <f>'16 Ændringsydelser'!R22</f>
        <v>4</v>
      </c>
      <c r="T323" s="39">
        <f>'16 Ændringsydelser'!S22</f>
        <v>75000</v>
      </c>
      <c r="U323" s="40">
        <f>'16 Ændringsydelser'!T22</f>
        <v>300000</v>
      </c>
      <c r="V323" s="37" t="s">
        <v>98</v>
      </c>
      <c r="W323" s="37" t="s">
        <v>98</v>
      </c>
      <c r="X323" s="37" t="s">
        <v>98</v>
      </c>
    </row>
    <row r="324" spans="1:24" s="37" customFormat="1" x14ac:dyDescent="0.25">
      <c r="A324" s="37">
        <v>6</v>
      </c>
      <c r="B324" s="37" t="s">
        <v>712</v>
      </c>
      <c r="C324" s="37" t="s">
        <v>713</v>
      </c>
      <c r="D324" s="38" t="str">
        <f>'16 Ændringsydelser'!C23</f>
        <v>KM</v>
      </c>
      <c r="E324" s="37">
        <f>'16 Ændringsydelser'!D23</f>
        <v>4</v>
      </c>
      <c r="F324" s="37">
        <f>'16 Ændringsydelser'!E23</f>
        <v>0</v>
      </c>
      <c r="G324" s="37">
        <f>'16 Ændringsydelser'!F23</f>
        <v>0</v>
      </c>
      <c r="H324" s="37">
        <f>'16 Ændringsydelser'!G23</f>
        <v>0</v>
      </c>
      <c r="I324" s="37">
        <f>'16 Ændringsydelser'!H23</f>
        <v>0</v>
      </c>
      <c r="J324" s="37">
        <f>'16 Ændringsydelser'!I23</f>
        <v>0</v>
      </c>
      <c r="K324" s="37">
        <f>'16 Ændringsydelser'!J23</f>
        <v>0</v>
      </c>
      <c r="L324" s="37">
        <f>'16 Ændringsydelser'!K23</f>
        <v>0</v>
      </c>
      <c r="M324" s="37">
        <f>'16 Ændringsydelser'!L23</f>
        <v>0</v>
      </c>
      <c r="N324" s="37">
        <f>'16 Ændringsydelser'!M23</f>
        <v>0</v>
      </c>
      <c r="O324" s="37">
        <f>'16 Ændringsydelser'!N23</f>
        <v>0</v>
      </c>
      <c r="P324" s="37">
        <f>'16 Ændringsydelser'!O23</f>
        <v>0</v>
      </c>
      <c r="Q324" s="37">
        <f>'16 Ændringsydelser'!P23</f>
        <v>0</v>
      </c>
      <c r="R324" s="37">
        <f>'16 Ændringsydelser'!Q23</f>
        <v>0</v>
      </c>
      <c r="S324" s="37">
        <f>'16 Ændringsydelser'!R23</f>
        <v>4</v>
      </c>
      <c r="T324" s="39">
        <f>'16 Ændringsydelser'!S23</f>
        <v>1</v>
      </c>
      <c r="U324" s="40">
        <f>'16 Ændringsydelser'!T23</f>
        <v>4</v>
      </c>
      <c r="V324" s="37" t="s">
        <v>98</v>
      </c>
      <c r="W324" s="37" t="s">
        <v>98</v>
      </c>
      <c r="X324" s="37" t="s">
        <v>98</v>
      </c>
    </row>
    <row r="325" spans="1:24" s="37" customFormat="1" x14ac:dyDescent="0.25">
      <c r="A325" s="37">
        <v>6</v>
      </c>
      <c r="B325" s="37" t="s">
        <v>714</v>
      </c>
      <c r="C325" s="37" t="s">
        <v>715</v>
      </c>
      <c r="D325" s="38" t="str">
        <f>'16 Ændringsydelser'!C24</f>
        <v>KM</v>
      </c>
      <c r="E325" s="37">
        <f>'16 Ændringsydelser'!D24</f>
        <v>4</v>
      </c>
      <c r="F325" s="37">
        <f>'16 Ændringsydelser'!E24</f>
        <v>0</v>
      </c>
      <c r="G325" s="37">
        <f>'16 Ændringsydelser'!F24</f>
        <v>0</v>
      </c>
      <c r="H325" s="37">
        <f>'16 Ændringsydelser'!G24</f>
        <v>0</v>
      </c>
      <c r="I325" s="37">
        <f>'16 Ændringsydelser'!H24</f>
        <v>0</v>
      </c>
      <c r="J325" s="37">
        <f>'16 Ændringsydelser'!I24</f>
        <v>0</v>
      </c>
      <c r="K325" s="37">
        <f>'16 Ændringsydelser'!J24</f>
        <v>0</v>
      </c>
      <c r="L325" s="37">
        <f>'16 Ændringsydelser'!K24</f>
        <v>0</v>
      </c>
      <c r="M325" s="37">
        <f>'16 Ændringsydelser'!L24</f>
        <v>0</v>
      </c>
      <c r="N325" s="37">
        <f>'16 Ændringsydelser'!M24</f>
        <v>0</v>
      </c>
      <c r="O325" s="37">
        <f>'16 Ændringsydelser'!N24</f>
        <v>0</v>
      </c>
      <c r="P325" s="37">
        <f>'16 Ændringsydelser'!O24</f>
        <v>0</v>
      </c>
      <c r="Q325" s="37">
        <f>'16 Ændringsydelser'!P24</f>
        <v>0</v>
      </c>
      <c r="R325" s="37">
        <f>'16 Ændringsydelser'!Q24</f>
        <v>0</v>
      </c>
      <c r="S325" s="37">
        <f>'16 Ændringsydelser'!R24</f>
        <v>4</v>
      </c>
      <c r="T325" s="39">
        <f>'16 Ændringsydelser'!S24</f>
        <v>1</v>
      </c>
      <c r="U325" s="40">
        <f>'16 Ændringsydelser'!T24</f>
        <v>4</v>
      </c>
      <c r="V325" s="37" t="s">
        <v>98</v>
      </c>
      <c r="W325" s="37" t="s">
        <v>98</v>
      </c>
      <c r="X325" s="37" t="s">
        <v>98</v>
      </c>
    </row>
    <row r="326" spans="1:24" s="37" customFormat="1" x14ac:dyDescent="0.25">
      <c r="A326" s="37">
        <v>5</v>
      </c>
      <c r="B326" s="37" t="s">
        <v>716</v>
      </c>
      <c r="C326" s="37" t="s">
        <v>717</v>
      </c>
      <c r="D326" s="38" t="str">
        <f>'16 Ændringsydelser'!C25</f>
        <v/>
      </c>
      <c r="E326" s="37">
        <f>'16 Ændringsydelser'!D25</f>
        <v>0</v>
      </c>
      <c r="F326" s="37">
        <f>'16 Ændringsydelser'!E25</f>
        <v>0</v>
      </c>
      <c r="G326" s="37">
        <f>'16 Ændringsydelser'!F25</f>
        <v>0</v>
      </c>
      <c r="H326" s="37">
        <f>'16 Ændringsydelser'!G25</f>
        <v>0</v>
      </c>
      <c r="I326" s="37">
        <f>'16 Ændringsydelser'!H25</f>
        <v>0</v>
      </c>
      <c r="J326" s="37">
        <f>'16 Ændringsydelser'!I25</f>
        <v>0</v>
      </c>
      <c r="K326" s="37">
        <f>'16 Ændringsydelser'!J25</f>
        <v>0</v>
      </c>
      <c r="L326" s="37">
        <f>'16 Ændringsydelser'!K25</f>
        <v>0</v>
      </c>
      <c r="M326" s="37">
        <f>'16 Ændringsydelser'!L25</f>
        <v>0</v>
      </c>
      <c r="N326" s="37">
        <f>'16 Ændringsydelser'!M25</f>
        <v>0</v>
      </c>
      <c r="O326" s="37">
        <f>'16 Ændringsydelser'!N25</f>
        <v>0</v>
      </c>
      <c r="P326" s="37">
        <f>'16 Ændringsydelser'!O25</f>
        <v>0</v>
      </c>
      <c r="Q326" s="37">
        <f>'16 Ændringsydelser'!P25</f>
        <v>0</v>
      </c>
      <c r="R326" s="37">
        <f>'16 Ændringsydelser'!Q25</f>
        <v>0</v>
      </c>
      <c r="S326" s="37">
        <f>'16 Ændringsydelser'!R25</f>
        <v>0</v>
      </c>
      <c r="T326" s="39">
        <f>'16 Ændringsydelser'!S25</f>
        <v>0</v>
      </c>
      <c r="U326" s="40">
        <f>'16 Ændringsydelser'!T25</f>
        <v>0</v>
      </c>
      <c r="V326" s="37" t="s">
        <v>98</v>
      </c>
      <c r="W326" s="37" t="s">
        <v>98</v>
      </c>
      <c r="X326" s="37" t="s">
        <v>98</v>
      </c>
    </row>
    <row r="327" spans="1:24" s="37" customFormat="1" x14ac:dyDescent="0.25">
      <c r="A327" s="37">
        <v>6</v>
      </c>
      <c r="B327" s="37" t="s">
        <v>718</v>
      </c>
      <c r="C327" s="37" t="s">
        <v>719</v>
      </c>
      <c r="D327" s="38" t="str">
        <f>'16 Ændringsydelser'!C26</f>
        <v>T</v>
      </c>
      <c r="E327" s="37">
        <f>'16 Ændringsydelser'!D26</f>
        <v>250</v>
      </c>
      <c r="F327" s="37">
        <f>'16 Ændringsydelser'!E26</f>
        <v>0</v>
      </c>
      <c r="G327" s="37">
        <f>'16 Ændringsydelser'!F26</f>
        <v>0</v>
      </c>
      <c r="H327" s="37">
        <f>'16 Ændringsydelser'!G26</f>
        <v>0</v>
      </c>
      <c r="I327" s="37">
        <f>'16 Ændringsydelser'!H26</f>
        <v>0</v>
      </c>
      <c r="J327" s="37">
        <f>'16 Ændringsydelser'!I26</f>
        <v>0</v>
      </c>
      <c r="K327" s="37">
        <f>'16 Ændringsydelser'!J26</f>
        <v>0</v>
      </c>
      <c r="L327" s="37">
        <f>'16 Ændringsydelser'!K26</f>
        <v>0</v>
      </c>
      <c r="M327" s="37">
        <f>'16 Ændringsydelser'!L26</f>
        <v>0</v>
      </c>
      <c r="N327" s="37">
        <f>'16 Ændringsydelser'!M26</f>
        <v>0</v>
      </c>
      <c r="O327" s="37">
        <f>'16 Ændringsydelser'!N26</f>
        <v>0</v>
      </c>
      <c r="P327" s="37">
        <f>'16 Ændringsydelser'!O26</f>
        <v>0</v>
      </c>
      <c r="Q327" s="37">
        <f>'16 Ændringsydelser'!P26</f>
        <v>0</v>
      </c>
      <c r="R327" s="37">
        <f>'16 Ændringsydelser'!Q26</f>
        <v>0</v>
      </c>
      <c r="S327" s="37">
        <f>'16 Ændringsydelser'!R26</f>
        <v>250</v>
      </c>
      <c r="T327" s="39">
        <f>'16 Ændringsydelser'!S26</f>
        <v>1300</v>
      </c>
      <c r="U327" s="40">
        <f>'16 Ændringsydelser'!T26</f>
        <v>325000</v>
      </c>
      <c r="V327" s="37" t="s">
        <v>98</v>
      </c>
      <c r="W327" s="37" t="s">
        <v>98</v>
      </c>
      <c r="X327" s="37" t="s">
        <v>98</v>
      </c>
    </row>
    <row r="328" spans="1:24" s="37" customFormat="1" x14ac:dyDescent="0.25">
      <c r="A328" s="37">
        <v>6</v>
      </c>
      <c r="B328" s="37" t="s">
        <v>720</v>
      </c>
      <c r="C328" s="37" t="s">
        <v>721</v>
      </c>
      <c r="D328" s="38" t="str">
        <f>'16 Ændringsydelser'!C27</f>
        <v>T</v>
      </c>
      <c r="E328" s="37">
        <f>'16 Ændringsydelser'!D27</f>
        <v>250</v>
      </c>
      <c r="F328" s="37">
        <f>'16 Ændringsydelser'!E27</f>
        <v>0</v>
      </c>
      <c r="G328" s="37">
        <f>'16 Ændringsydelser'!F27</f>
        <v>0</v>
      </c>
      <c r="H328" s="37">
        <f>'16 Ændringsydelser'!G27</f>
        <v>0</v>
      </c>
      <c r="I328" s="37">
        <f>'16 Ændringsydelser'!H27</f>
        <v>0</v>
      </c>
      <c r="J328" s="37">
        <f>'16 Ændringsydelser'!I27</f>
        <v>0</v>
      </c>
      <c r="K328" s="37">
        <f>'16 Ændringsydelser'!J27</f>
        <v>0</v>
      </c>
      <c r="L328" s="37">
        <f>'16 Ændringsydelser'!K27</f>
        <v>0</v>
      </c>
      <c r="M328" s="37">
        <f>'16 Ændringsydelser'!L27</f>
        <v>0</v>
      </c>
      <c r="N328" s="37">
        <f>'16 Ændringsydelser'!M27</f>
        <v>0</v>
      </c>
      <c r="O328" s="37">
        <f>'16 Ændringsydelser'!N27</f>
        <v>0</v>
      </c>
      <c r="P328" s="37">
        <f>'16 Ændringsydelser'!O27</f>
        <v>0</v>
      </c>
      <c r="Q328" s="37">
        <f>'16 Ændringsydelser'!P27</f>
        <v>0</v>
      </c>
      <c r="R328" s="37">
        <f>'16 Ændringsydelser'!Q27</f>
        <v>0</v>
      </c>
      <c r="S328" s="37">
        <f>'16 Ændringsydelser'!R27</f>
        <v>250</v>
      </c>
      <c r="T328" s="39">
        <f>'16 Ændringsydelser'!S27</f>
        <v>1000</v>
      </c>
      <c r="U328" s="40">
        <f>'16 Ændringsydelser'!T27</f>
        <v>250000</v>
      </c>
      <c r="V328" s="37" t="s">
        <v>98</v>
      </c>
      <c r="W328" s="37" t="s">
        <v>98</v>
      </c>
      <c r="X328" s="37" t="s">
        <v>98</v>
      </c>
    </row>
    <row r="329" spans="1:24" s="37" customFormat="1" x14ac:dyDescent="0.25">
      <c r="A329" s="37">
        <v>6</v>
      </c>
      <c r="B329" s="37" t="s">
        <v>722</v>
      </c>
      <c r="C329" s="37" t="s">
        <v>723</v>
      </c>
      <c r="D329" s="38" t="str">
        <f>'16 Ændringsydelser'!C28</f>
        <v>T</v>
      </c>
      <c r="E329" s="37">
        <f>'16 Ændringsydelser'!D28</f>
        <v>250</v>
      </c>
      <c r="F329" s="37">
        <f>'16 Ændringsydelser'!E28</f>
        <v>0</v>
      </c>
      <c r="G329" s="37">
        <f>'16 Ændringsydelser'!F28</f>
        <v>0</v>
      </c>
      <c r="H329" s="37">
        <f>'16 Ændringsydelser'!G28</f>
        <v>0</v>
      </c>
      <c r="I329" s="37">
        <f>'16 Ændringsydelser'!H28</f>
        <v>0</v>
      </c>
      <c r="J329" s="37">
        <f>'16 Ændringsydelser'!I28</f>
        <v>0</v>
      </c>
      <c r="K329" s="37">
        <f>'16 Ændringsydelser'!J28</f>
        <v>0</v>
      </c>
      <c r="L329" s="37">
        <f>'16 Ændringsydelser'!K28</f>
        <v>0</v>
      </c>
      <c r="M329" s="37">
        <f>'16 Ændringsydelser'!L28</f>
        <v>0</v>
      </c>
      <c r="N329" s="37">
        <f>'16 Ændringsydelser'!M28</f>
        <v>0</v>
      </c>
      <c r="O329" s="37">
        <f>'16 Ændringsydelser'!N28</f>
        <v>0</v>
      </c>
      <c r="P329" s="37">
        <f>'16 Ændringsydelser'!O28</f>
        <v>0</v>
      </c>
      <c r="Q329" s="37">
        <f>'16 Ændringsydelser'!P28</f>
        <v>0</v>
      </c>
      <c r="R329" s="37">
        <f>'16 Ændringsydelser'!Q28</f>
        <v>0</v>
      </c>
      <c r="S329" s="37">
        <f>'16 Ændringsydelser'!R28</f>
        <v>250</v>
      </c>
      <c r="T329" s="39">
        <f>'16 Ændringsydelser'!S28</f>
        <v>1</v>
      </c>
      <c r="U329" s="40">
        <f>'16 Ændringsydelser'!T28</f>
        <v>250</v>
      </c>
      <c r="V329" s="37" t="s">
        <v>98</v>
      </c>
      <c r="W329" s="37" t="s">
        <v>98</v>
      </c>
      <c r="X329" s="37" t="s">
        <v>98</v>
      </c>
    </row>
    <row r="330" spans="1:24" s="37" customFormat="1" x14ac:dyDescent="0.25">
      <c r="A330" s="37">
        <v>6</v>
      </c>
      <c r="B330" s="37" t="s">
        <v>724</v>
      </c>
      <c r="C330" s="37" t="s">
        <v>725</v>
      </c>
      <c r="D330" s="38" t="str">
        <f>'16 Ændringsydelser'!C29</f>
        <v>T</v>
      </c>
      <c r="E330" s="37">
        <f>'16 Ændringsydelser'!D29</f>
        <v>250</v>
      </c>
      <c r="F330" s="37">
        <f>'16 Ændringsydelser'!E29</f>
        <v>0</v>
      </c>
      <c r="G330" s="37">
        <f>'16 Ændringsydelser'!F29</f>
        <v>0</v>
      </c>
      <c r="H330" s="37">
        <f>'16 Ændringsydelser'!G29</f>
        <v>0</v>
      </c>
      <c r="I330" s="37">
        <f>'16 Ændringsydelser'!H29</f>
        <v>0</v>
      </c>
      <c r="J330" s="37">
        <f>'16 Ændringsydelser'!I29</f>
        <v>0</v>
      </c>
      <c r="K330" s="37">
        <f>'16 Ændringsydelser'!J29</f>
        <v>0</v>
      </c>
      <c r="L330" s="37">
        <f>'16 Ændringsydelser'!K29</f>
        <v>0</v>
      </c>
      <c r="M330" s="37">
        <f>'16 Ændringsydelser'!L29</f>
        <v>0</v>
      </c>
      <c r="N330" s="37">
        <f>'16 Ændringsydelser'!M29</f>
        <v>0</v>
      </c>
      <c r="O330" s="37">
        <f>'16 Ændringsydelser'!N29</f>
        <v>0</v>
      </c>
      <c r="P330" s="37">
        <f>'16 Ændringsydelser'!O29</f>
        <v>0</v>
      </c>
      <c r="Q330" s="37">
        <f>'16 Ændringsydelser'!P29</f>
        <v>0</v>
      </c>
      <c r="R330" s="37">
        <f>'16 Ændringsydelser'!Q29</f>
        <v>0</v>
      </c>
      <c r="S330" s="37">
        <f>'16 Ændringsydelser'!R29</f>
        <v>250</v>
      </c>
      <c r="T330" s="39">
        <f>'16 Ændringsydelser'!S29</f>
        <v>200</v>
      </c>
      <c r="U330" s="40">
        <f>'16 Ændringsydelser'!T29</f>
        <v>50000</v>
      </c>
      <c r="V330" s="37" t="s">
        <v>98</v>
      </c>
      <c r="W330" s="37" t="s">
        <v>98</v>
      </c>
      <c r="X330" s="37" t="s">
        <v>98</v>
      </c>
    </row>
    <row r="331" spans="1:24" s="37" customFormat="1" x14ac:dyDescent="0.25">
      <c r="A331" s="37">
        <v>6</v>
      </c>
      <c r="B331" s="37" t="s">
        <v>726</v>
      </c>
      <c r="C331" s="37" t="s">
        <v>727</v>
      </c>
      <c r="D331" s="38" t="str">
        <f>'16 Ændringsydelser'!C30</f>
        <v>T</v>
      </c>
      <c r="E331" s="37">
        <f>'16 Ændringsydelser'!D30</f>
        <v>250</v>
      </c>
      <c r="F331" s="37">
        <f>'16 Ændringsydelser'!E30</f>
        <v>0</v>
      </c>
      <c r="G331" s="37">
        <f>'16 Ændringsydelser'!F30</f>
        <v>0</v>
      </c>
      <c r="H331" s="37">
        <f>'16 Ændringsydelser'!G30</f>
        <v>0</v>
      </c>
      <c r="I331" s="37">
        <f>'16 Ændringsydelser'!H30</f>
        <v>0</v>
      </c>
      <c r="J331" s="37">
        <f>'16 Ændringsydelser'!I30</f>
        <v>0</v>
      </c>
      <c r="K331" s="37">
        <f>'16 Ændringsydelser'!J30</f>
        <v>0</v>
      </c>
      <c r="L331" s="37">
        <f>'16 Ændringsydelser'!K30</f>
        <v>0</v>
      </c>
      <c r="M331" s="37">
        <f>'16 Ændringsydelser'!L30</f>
        <v>0</v>
      </c>
      <c r="N331" s="37">
        <f>'16 Ændringsydelser'!M30</f>
        <v>0</v>
      </c>
      <c r="O331" s="37">
        <f>'16 Ændringsydelser'!N30</f>
        <v>0</v>
      </c>
      <c r="P331" s="37">
        <f>'16 Ændringsydelser'!O30</f>
        <v>0</v>
      </c>
      <c r="Q331" s="37">
        <f>'16 Ændringsydelser'!P30</f>
        <v>0</v>
      </c>
      <c r="R331" s="37">
        <f>'16 Ændringsydelser'!Q30</f>
        <v>0</v>
      </c>
      <c r="S331" s="37">
        <f>'16 Ændringsydelser'!R30</f>
        <v>250</v>
      </c>
      <c r="T331" s="39">
        <f>'16 Ændringsydelser'!S30</f>
        <v>1</v>
      </c>
      <c r="U331" s="40">
        <f>'16 Ændringsydelser'!T30</f>
        <v>250</v>
      </c>
      <c r="V331" s="37" t="s">
        <v>98</v>
      </c>
      <c r="W331" s="37" t="s">
        <v>98</v>
      </c>
      <c r="X331" s="37" t="s">
        <v>98</v>
      </c>
    </row>
    <row r="332" spans="1:24" s="37" customFormat="1" x14ac:dyDescent="0.25">
      <c r="A332" s="37">
        <v>6</v>
      </c>
      <c r="B332" s="37" t="s">
        <v>728</v>
      </c>
      <c r="C332" s="37" t="s">
        <v>729</v>
      </c>
      <c r="D332" s="38" t="str">
        <f>'16 Ændringsydelser'!C31</f>
        <v>T</v>
      </c>
      <c r="E332" s="37">
        <f>'16 Ændringsydelser'!D31</f>
        <v>250</v>
      </c>
      <c r="F332" s="37">
        <f>'16 Ændringsydelser'!E31</f>
        <v>0</v>
      </c>
      <c r="G332" s="37">
        <f>'16 Ændringsydelser'!F31</f>
        <v>0</v>
      </c>
      <c r="H332" s="37">
        <f>'16 Ændringsydelser'!G31</f>
        <v>0</v>
      </c>
      <c r="I332" s="37">
        <f>'16 Ændringsydelser'!H31</f>
        <v>0</v>
      </c>
      <c r="J332" s="37">
        <f>'16 Ændringsydelser'!I31</f>
        <v>0</v>
      </c>
      <c r="K332" s="37">
        <f>'16 Ændringsydelser'!J31</f>
        <v>0</v>
      </c>
      <c r="L332" s="37">
        <f>'16 Ændringsydelser'!K31</f>
        <v>0</v>
      </c>
      <c r="M332" s="37">
        <f>'16 Ændringsydelser'!L31</f>
        <v>0</v>
      </c>
      <c r="N332" s="37">
        <f>'16 Ændringsydelser'!M31</f>
        <v>0</v>
      </c>
      <c r="O332" s="37">
        <f>'16 Ændringsydelser'!N31</f>
        <v>0</v>
      </c>
      <c r="P332" s="37">
        <f>'16 Ændringsydelser'!O31</f>
        <v>0</v>
      </c>
      <c r="Q332" s="37">
        <f>'16 Ændringsydelser'!P31</f>
        <v>0</v>
      </c>
      <c r="R332" s="37">
        <f>'16 Ændringsydelser'!Q31</f>
        <v>0</v>
      </c>
      <c r="S332" s="37">
        <f>'16 Ændringsydelser'!R31</f>
        <v>250</v>
      </c>
      <c r="T332" s="39">
        <f>'16 Ændringsydelser'!S31</f>
        <v>1</v>
      </c>
      <c r="U332" s="40">
        <f>'16 Ændringsydelser'!T31</f>
        <v>250</v>
      </c>
      <c r="V332" s="37" t="s">
        <v>98</v>
      </c>
      <c r="W332" s="37" t="s">
        <v>98</v>
      </c>
      <c r="X332" s="37" t="s">
        <v>98</v>
      </c>
    </row>
    <row r="333" spans="1:24" s="37" customFormat="1" x14ac:dyDescent="0.25">
      <c r="A333" s="37">
        <v>6</v>
      </c>
      <c r="B333" s="37" t="s">
        <v>730</v>
      </c>
      <c r="C333" s="37" t="s">
        <v>731</v>
      </c>
      <c r="D333" s="38" t="str">
        <f>'16 Ændringsydelser'!C32</f>
        <v>T</v>
      </c>
      <c r="E333" s="37">
        <f>'16 Ændringsydelser'!D32</f>
        <v>250</v>
      </c>
      <c r="F333" s="37">
        <f>'16 Ændringsydelser'!E32</f>
        <v>0</v>
      </c>
      <c r="G333" s="37">
        <f>'16 Ændringsydelser'!F32</f>
        <v>0</v>
      </c>
      <c r="H333" s="37">
        <f>'16 Ændringsydelser'!G32</f>
        <v>0</v>
      </c>
      <c r="I333" s="37">
        <f>'16 Ændringsydelser'!H32</f>
        <v>0</v>
      </c>
      <c r="J333" s="37">
        <f>'16 Ændringsydelser'!I32</f>
        <v>0</v>
      </c>
      <c r="K333" s="37">
        <f>'16 Ændringsydelser'!J32</f>
        <v>0</v>
      </c>
      <c r="L333" s="37">
        <f>'16 Ændringsydelser'!K32</f>
        <v>0</v>
      </c>
      <c r="M333" s="37">
        <f>'16 Ændringsydelser'!L32</f>
        <v>0</v>
      </c>
      <c r="N333" s="37">
        <f>'16 Ændringsydelser'!M32</f>
        <v>0</v>
      </c>
      <c r="O333" s="37">
        <f>'16 Ændringsydelser'!N32</f>
        <v>0</v>
      </c>
      <c r="P333" s="37">
        <f>'16 Ændringsydelser'!O32</f>
        <v>0</v>
      </c>
      <c r="Q333" s="37">
        <f>'16 Ændringsydelser'!P32</f>
        <v>0</v>
      </c>
      <c r="R333" s="37">
        <f>'16 Ændringsydelser'!Q32</f>
        <v>0</v>
      </c>
      <c r="S333" s="37">
        <f>'16 Ændringsydelser'!R32</f>
        <v>250</v>
      </c>
      <c r="T333" s="39">
        <f>'16 Ændringsydelser'!S32</f>
        <v>3900</v>
      </c>
      <c r="U333" s="40">
        <f>'16 Ændringsydelser'!T32</f>
        <v>975000</v>
      </c>
      <c r="V333" s="37" t="s">
        <v>98</v>
      </c>
      <c r="W333" s="37" t="s">
        <v>98</v>
      </c>
      <c r="X333" s="37" t="s">
        <v>98</v>
      </c>
    </row>
    <row r="334" spans="1:24" s="36" customFormat="1" x14ac:dyDescent="0.25">
      <c r="A334" s="28">
        <v>4</v>
      </c>
      <c r="B334" s="28" t="s">
        <v>732</v>
      </c>
      <c r="C334" s="28" t="s">
        <v>733</v>
      </c>
      <c r="D334" s="50" t="str">
        <f>'16 Ændringsydelser'!C33</f>
        <v/>
      </c>
      <c r="E334" s="28">
        <f>'16 Ændringsydelser'!D33</f>
        <v>0</v>
      </c>
      <c r="F334" s="28">
        <f>'16 Ændringsydelser'!E33</f>
        <v>0</v>
      </c>
      <c r="G334" s="28">
        <f>'16 Ændringsydelser'!F33</f>
        <v>0</v>
      </c>
      <c r="H334" s="28">
        <f>'16 Ændringsydelser'!G33</f>
        <v>0</v>
      </c>
      <c r="I334" s="28">
        <f>'16 Ændringsydelser'!H33</f>
        <v>0</v>
      </c>
      <c r="J334" s="28">
        <f>'16 Ændringsydelser'!I33</f>
        <v>0</v>
      </c>
      <c r="K334" s="28">
        <f>'16 Ændringsydelser'!J33</f>
        <v>0</v>
      </c>
      <c r="L334" s="28">
        <f>'16 Ændringsydelser'!K33</f>
        <v>0</v>
      </c>
      <c r="M334" s="28">
        <f>'16 Ændringsydelser'!L33</f>
        <v>0</v>
      </c>
      <c r="N334" s="28">
        <f>'16 Ændringsydelser'!M33</f>
        <v>0</v>
      </c>
      <c r="O334" s="28">
        <f>'16 Ændringsydelser'!N33</f>
        <v>0</v>
      </c>
      <c r="P334" s="28">
        <f>'16 Ændringsydelser'!O33</f>
        <v>0</v>
      </c>
      <c r="Q334" s="28">
        <f>'16 Ændringsydelser'!P33</f>
        <v>0</v>
      </c>
      <c r="R334" s="28">
        <f>'16 Ændringsydelser'!Q33</f>
        <v>0</v>
      </c>
      <c r="S334" s="28">
        <f>'16 Ændringsydelser'!R33</f>
        <v>0</v>
      </c>
      <c r="T334" s="51">
        <f>'16 Ændringsydelser'!S33</f>
        <v>0</v>
      </c>
      <c r="U334" s="52">
        <f>'16 Ændringsydelser'!T33</f>
        <v>0</v>
      </c>
      <c r="V334" s="28" t="s">
        <v>98</v>
      </c>
      <c r="W334" s="28" t="s">
        <v>98</v>
      </c>
      <c r="X334" s="28" t="s">
        <v>98</v>
      </c>
    </row>
    <row r="335" spans="1:24" s="37" customFormat="1" x14ac:dyDescent="0.25">
      <c r="A335" s="37">
        <v>5</v>
      </c>
      <c r="B335" s="37" t="s">
        <v>734</v>
      </c>
      <c r="C335" s="37" t="s">
        <v>735</v>
      </c>
      <c r="D335" s="38" t="str">
        <f>'16 Ændringsydelser'!C34</f>
        <v>STK</v>
      </c>
      <c r="E335" s="37">
        <f>'16 Ændringsydelser'!D34</f>
        <v>25</v>
      </c>
      <c r="F335" s="37">
        <f>'16 Ændringsydelser'!E34</f>
        <v>0</v>
      </c>
      <c r="G335" s="37">
        <f>'16 Ændringsydelser'!F34</f>
        <v>0</v>
      </c>
      <c r="H335" s="37">
        <f>'16 Ændringsydelser'!G34</f>
        <v>0</v>
      </c>
      <c r="I335" s="37">
        <f>'16 Ændringsydelser'!H34</f>
        <v>0</v>
      </c>
      <c r="J335" s="37">
        <f>'16 Ændringsydelser'!I34</f>
        <v>0</v>
      </c>
      <c r="K335" s="37">
        <f>'16 Ændringsydelser'!J34</f>
        <v>0</v>
      </c>
      <c r="L335" s="37">
        <f>'16 Ændringsydelser'!K34</f>
        <v>0</v>
      </c>
      <c r="M335" s="37">
        <f>'16 Ændringsydelser'!L34</f>
        <v>0</v>
      </c>
      <c r="N335" s="37">
        <f>'16 Ændringsydelser'!M34</f>
        <v>0</v>
      </c>
      <c r="O335" s="37">
        <f>'16 Ændringsydelser'!N34</f>
        <v>0</v>
      </c>
      <c r="P335" s="37">
        <f>'16 Ændringsydelser'!O34</f>
        <v>0</v>
      </c>
      <c r="Q335" s="37">
        <f>'16 Ændringsydelser'!P34</f>
        <v>0</v>
      </c>
      <c r="R335" s="37">
        <f>'16 Ændringsydelser'!Q34</f>
        <v>0</v>
      </c>
      <c r="S335" s="37">
        <f>'16 Ændringsydelser'!R34</f>
        <v>25</v>
      </c>
      <c r="T335" s="39">
        <f>'16 Ændringsydelser'!S34</f>
        <v>5000</v>
      </c>
      <c r="U335" s="40">
        <f>'16 Ændringsydelser'!T34</f>
        <v>125000</v>
      </c>
      <c r="V335" s="37" t="s">
        <v>98</v>
      </c>
      <c r="W335" s="37" t="s">
        <v>98</v>
      </c>
      <c r="X335" s="37" t="s">
        <v>98</v>
      </c>
    </row>
    <row r="336" spans="1:24" s="37" customFormat="1" x14ac:dyDescent="0.25">
      <c r="A336" s="37">
        <v>5</v>
      </c>
      <c r="B336" s="37" t="s">
        <v>736</v>
      </c>
      <c r="C336" s="37" t="s">
        <v>737</v>
      </c>
      <c r="D336" s="38" t="str">
        <f>'16 Ændringsydelser'!C35</f>
        <v>KM</v>
      </c>
      <c r="E336" s="37">
        <f>'16 Ændringsydelser'!D35</f>
        <v>25</v>
      </c>
      <c r="F336" s="37">
        <f>'16 Ændringsydelser'!E35</f>
        <v>0</v>
      </c>
      <c r="G336" s="37">
        <f>'16 Ændringsydelser'!F35</f>
        <v>0</v>
      </c>
      <c r="H336" s="37">
        <f>'16 Ændringsydelser'!G35</f>
        <v>0</v>
      </c>
      <c r="I336" s="37">
        <f>'16 Ændringsydelser'!H35</f>
        <v>0</v>
      </c>
      <c r="J336" s="37">
        <f>'16 Ændringsydelser'!I35</f>
        <v>0</v>
      </c>
      <c r="K336" s="37">
        <f>'16 Ændringsydelser'!J35</f>
        <v>0</v>
      </c>
      <c r="L336" s="37">
        <f>'16 Ændringsydelser'!K35</f>
        <v>0</v>
      </c>
      <c r="M336" s="37">
        <f>'16 Ændringsydelser'!L35</f>
        <v>0</v>
      </c>
      <c r="N336" s="37">
        <f>'16 Ændringsydelser'!M35</f>
        <v>0</v>
      </c>
      <c r="O336" s="37">
        <f>'16 Ændringsydelser'!N35</f>
        <v>0</v>
      </c>
      <c r="P336" s="37">
        <f>'16 Ændringsydelser'!O35</f>
        <v>0</v>
      </c>
      <c r="Q336" s="37">
        <f>'16 Ændringsydelser'!P35</f>
        <v>0</v>
      </c>
      <c r="R336" s="37">
        <f>'16 Ændringsydelser'!Q35</f>
        <v>0</v>
      </c>
      <c r="S336" s="37">
        <f>'16 Ændringsydelser'!R35</f>
        <v>25</v>
      </c>
      <c r="T336" s="39">
        <f>'16 Ændringsydelser'!S35</f>
        <v>2400</v>
      </c>
      <c r="U336" s="40">
        <f>'16 Ændringsydelser'!T35</f>
        <v>60000</v>
      </c>
      <c r="V336" s="37" t="s">
        <v>98</v>
      </c>
      <c r="W336" s="37" t="s">
        <v>98</v>
      </c>
      <c r="X336" s="37" t="s">
        <v>98</v>
      </c>
    </row>
    <row r="337" spans="1:24" s="37" customFormat="1" x14ac:dyDescent="0.25">
      <c r="A337" s="37">
        <v>5</v>
      </c>
      <c r="B337" s="37" t="s">
        <v>738</v>
      </c>
      <c r="C337" s="37" t="s">
        <v>248</v>
      </c>
      <c r="D337" s="38" t="str">
        <f>'16 Ændringsydelser'!C36</f>
        <v/>
      </c>
      <c r="E337" s="37">
        <f>'16 Ændringsydelser'!D36</f>
        <v>0</v>
      </c>
      <c r="F337" s="37">
        <f>'16 Ændringsydelser'!E36</f>
        <v>0</v>
      </c>
      <c r="G337" s="37">
        <f>'16 Ændringsydelser'!F36</f>
        <v>0</v>
      </c>
      <c r="H337" s="37">
        <f>'16 Ændringsydelser'!G36</f>
        <v>0</v>
      </c>
      <c r="I337" s="37">
        <f>'16 Ændringsydelser'!H36</f>
        <v>0</v>
      </c>
      <c r="J337" s="37">
        <f>'16 Ændringsydelser'!I36</f>
        <v>0</v>
      </c>
      <c r="K337" s="37">
        <f>'16 Ændringsydelser'!J36</f>
        <v>0</v>
      </c>
      <c r="L337" s="37">
        <f>'16 Ændringsydelser'!K36</f>
        <v>0</v>
      </c>
      <c r="M337" s="37">
        <f>'16 Ændringsydelser'!L36</f>
        <v>0</v>
      </c>
      <c r="N337" s="37">
        <f>'16 Ændringsydelser'!M36</f>
        <v>0</v>
      </c>
      <c r="O337" s="37">
        <f>'16 Ændringsydelser'!N36</f>
        <v>0</v>
      </c>
      <c r="P337" s="37">
        <f>'16 Ændringsydelser'!O36</f>
        <v>0</v>
      </c>
      <c r="Q337" s="37">
        <f>'16 Ændringsydelser'!P36</f>
        <v>0</v>
      </c>
      <c r="R337" s="37">
        <f>'16 Ændringsydelser'!Q36</f>
        <v>0</v>
      </c>
      <c r="S337" s="37">
        <f>'16 Ændringsydelser'!R36</f>
        <v>0</v>
      </c>
      <c r="T337" s="39">
        <f>'16 Ændringsydelser'!S36</f>
        <v>0</v>
      </c>
      <c r="U337" s="40">
        <f>'16 Ændringsydelser'!T36</f>
        <v>0</v>
      </c>
      <c r="V337" s="37" t="s">
        <v>98</v>
      </c>
      <c r="W337" s="37" t="s">
        <v>98</v>
      </c>
      <c r="X337" s="37" t="s">
        <v>98</v>
      </c>
    </row>
    <row r="338" spans="1:24" s="37" customFormat="1" x14ac:dyDescent="0.25">
      <c r="A338" s="37">
        <v>6</v>
      </c>
      <c r="B338" s="37" t="s">
        <v>739</v>
      </c>
      <c r="C338" s="37" t="s">
        <v>740</v>
      </c>
      <c r="D338" s="38" t="str">
        <f>'16 Ændringsydelser'!C37</f>
        <v>M</v>
      </c>
      <c r="E338" s="37">
        <f>'16 Ændringsydelser'!D37</f>
        <v>250</v>
      </c>
      <c r="F338" s="37">
        <f>'16 Ændringsydelser'!E37</f>
        <v>0</v>
      </c>
      <c r="G338" s="37">
        <f>'16 Ændringsydelser'!F37</f>
        <v>0</v>
      </c>
      <c r="H338" s="37">
        <f>'16 Ændringsydelser'!G37</f>
        <v>0</v>
      </c>
      <c r="I338" s="37">
        <f>'16 Ændringsydelser'!H37</f>
        <v>0</v>
      </c>
      <c r="J338" s="37">
        <f>'16 Ændringsydelser'!I37</f>
        <v>0</v>
      </c>
      <c r="K338" s="37">
        <f>'16 Ændringsydelser'!J37</f>
        <v>0</v>
      </c>
      <c r="L338" s="37">
        <f>'16 Ændringsydelser'!K37</f>
        <v>0</v>
      </c>
      <c r="M338" s="37">
        <f>'16 Ændringsydelser'!L37</f>
        <v>0</v>
      </c>
      <c r="N338" s="37">
        <f>'16 Ændringsydelser'!M37</f>
        <v>0</v>
      </c>
      <c r="O338" s="37">
        <f>'16 Ændringsydelser'!N37</f>
        <v>0</v>
      </c>
      <c r="P338" s="37">
        <f>'16 Ændringsydelser'!O37</f>
        <v>0</v>
      </c>
      <c r="Q338" s="37">
        <f>'16 Ændringsydelser'!P37</f>
        <v>0</v>
      </c>
      <c r="R338" s="37">
        <f>'16 Ændringsydelser'!Q37</f>
        <v>0</v>
      </c>
      <c r="S338" s="37">
        <f>'16 Ændringsydelser'!R37</f>
        <v>250</v>
      </c>
      <c r="T338" s="39">
        <f>'16 Ændringsydelser'!S37</f>
        <v>300</v>
      </c>
      <c r="U338" s="40">
        <f>'16 Ændringsydelser'!T37</f>
        <v>75000</v>
      </c>
      <c r="V338" s="37" t="s">
        <v>98</v>
      </c>
      <c r="W338" s="37" t="s">
        <v>98</v>
      </c>
      <c r="X338" s="37" t="s">
        <v>98</v>
      </c>
    </row>
    <row r="339" spans="1:24" s="37" customFormat="1" x14ac:dyDescent="0.25">
      <c r="A339" s="37">
        <v>6</v>
      </c>
      <c r="B339" s="37" t="s">
        <v>741</v>
      </c>
      <c r="C339" s="37" t="s">
        <v>742</v>
      </c>
      <c r="D339" s="38" t="str">
        <f>'16 Ændringsydelser'!C38</f>
        <v>M</v>
      </c>
      <c r="E339" s="37">
        <f>'16 Ændringsydelser'!D38</f>
        <v>250</v>
      </c>
      <c r="F339" s="37">
        <f>'16 Ændringsydelser'!E38</f>
        <v>0</v>
      </c>
      <c r="G339" s="37">
        <f>'16 Ændringsydelser'!F38</f>
        <v>0</v>
      </c>
      <c r="H339" s="37">
        <f>'16 Ændringsydelser'!G38</f>
        <v>0</v>
      </c>
      <c r="I339" s="37">
        <f>'16 Ændringsydelser'!H38</f>
        <v>0</v>
      </c>
      <c r="J339" s="37">
        <f>'16 Ændringsydelser'!I38</f>
        <v>0</v>
      </c>
      <c r="K339" s="37">
        <f>'16 Ændringsydelser'!J38</f>
        <v>0</v>
      </c>
      <c r="L339" s="37">
        <f>'16 Ændringsydelser'!K38</f>
        <v>0</v>
      </c>
      <c r="M339" s="37">
        <f>'16 Ændringsydelser'!L38</f>
        <v>0</v>
      </c>
      <c r="N339" s="37">
        <f>'16 Ændringsydelser'!M38</f>
        <v>0</v>
      </c>
      <c r="O339" s="37">
        <f>'16 Ændringsydelser'!N38</f>
        <v>0</v>
      </c>
      <c r="P339" s="37">
        <f>'16 Ændringsydelser'!O38</f>
        <v>0</v>
      </c>
      <c r="Q339" s="37">
        <f>'16 Ændringsydelser'!P38</f>
        <v>0</v>
      </c>
      <c r="R339" s="37">
        <f>'16 Ændringsydelser'!Q38</f>
        <v>0</v>
      </c>
      <c r="S339" s="37">
        <f>'16 Ændringsydelser'!R38</f>
        <v>250</v>
      </c>
      <c r="T339" s="39">
        <f>'16 Ændringsydelser'!S38</f>
        <v>300</v>
      </c>
      <c r="U339" s="40">
        <f>'16 Ændringsydelser'!T38</f>
        <v>75000</v>
      </c>
      <c r="V339" s="37" t="s">
        <v>98</v>
      </c>
      <c r="W339" s="37" t="s">
        <v>98</v>
      </c>
      <c r="X339" s="37" t="s">
        <v>98</v>
      </c>
    </row>
    <row r="340" spans="1:24" s="37" customFormat="1" x14ac:dyDescent="0.25">
      <c r="A340" s="37">
        <v>5</v>
      </c>
      <c r="B340" s="37" t="s">
        <v>743</v>
      </c>
      <c r="C340" s="37" t="s">
        <v>744</v>
      </c>
      <c r="D340" s="38" t="str">
        <f>'16 Ændringsydelser'!C39</f>
        <v>STK</v>
      </c>
      <c r="E340" s="37">
        <f>'16 Ændringsydelser'!D39</f>
        <v>50</v>
      </c>
      <c r="F340" s="37">
        <f>'16 Ændringsydelser'!E39</f>
        <v>0</v>
      </c>
      <c r="G340" s="37">
        <f>'16 Ændringsydelser'!F39</f>
        <v>0</v>
      </c>
      <c r="H340" s="37">
        <f>'16 Ændringsydelser'!G39</f>
        <v>0</v>
      </c>
      <c r="I340" s="37">
        <f>'16 Ændringsydelser'!H39</f>
        <v>0</v>
      </c>
      <c r="J340" s="37">
        <f>'16 Ændringsydelser'!I39</f>
        <v>0</v>
      </c>
      <c r="K340" s="37">
        <f>'16 Ændringsydelser'!J39</f>
        <v>0</v>
      </c>
      <c r="L340" s="37">
        <f>'16 Ændringsydelser'!K39</f>
        <v>0</v>
      </c>
      <c r="M340" s="37">
        <f>'16 Ændringsydelser'!L39</f>
        <v>0</v>
      </c>
      <c r="N340" s="37">
        <f>'16 Ændringsydelser'!M39</f>
        <v>0</v>
      </c>
      <c r="O340" s="37">
        <f>'16 Ændringsydelser'!N39</f>
        <v>0</v>
      </c>
      <c r="P340" s="37">
        <f>'16 Ændringsydelser'!O39</f>
        <v>0</v>
      </c>
      <c r="Q340" s="37">
        <f>'16 Ændringsydelser'!P39</f>
        <v>0</v>
      </c>
      <c r="R340" s="37">
        <f>'16 Ændringsydelser'!Q39</f>
        <v>0</v>
      </c>
      <c r="S340" s="37">
        <f>'16 Ændringsydelser'!R39</f>
        <v>50</v>
      </c>
      <c r="T340" s="39">
        <f>'16 Ændringsydelser'!S39</f>
        <v>3000</v>
      </c>
      <c r="U340" s="40">
        <f>'16 Ændringsydelser'!T39</f>
        <v>150000</v>
      </c>
      <c r="V340" s="37" t="s">
        <v>98</v>
      </c>
      <c r="W340" s="37" t="s">
        <v>98</v>
      </c>
      <c r="X340" s="37" t="s">
        <v>98</v>
      </c>
    </row>
    <row r="341" spans="1:24" s="37" customFormat="1" x14ac:dyDescent="0.25">
      <c r="A341" s="37">
        <v>5</v>
      </c>
      <c r="B341" s="37" t="s">
        <v>745</v>
      </c>
      <c r="C341" s="37" t="s">
        <v>746</v>
      </c>
      <c r="D341" s="38" t="str">
        <f>'16 Ændringsydelser'!C40</f>
        <v>DDG</v>
      </c>
      <c r="E341" s="37">
        <f>'16 Ændringsydelser'!D40</f>
        <v>150</v>
      </c>
      <c r="F341" s="37">
        <f>'16 Ændringsydelser'!E40</f>
        <v>0</v>
      </c>
      <c r="G341" s="37">
        <f>'16 Ændringsydelser'!F40</f>
        <v>0</v>
      </c>
      <c r="H341" s="37">
        <f>'16 Ændringsydelser'!G40</f>
        <v>0</v>
      </c>
      <c r="I341" s="37">
        <f>'16 Ændringsydelser'!H40</f>
        <v>0</v>
      </c>
      <c r="J341" s="37">
        <f>'16 Ændringsydelser'!I40</f>
        <v>0</v>
      </c>
      <c r="K341" s="37">
        <f>'16 Ændringsydelser'!J40</f>
        <v>0</v>
      </c>
      <c r="L341" s="37">
        <f>'16 Ændringsydelser'!K40</f>
        <v>0</v>
      </c>
      <c r="M341" s="37">
        <f>'16 Ændringsydelser'!L40</f>
        <v>0</v>
      </c>
      <c r="N341" s="37">
        <f>'16 Ændringsydelser'!M40</f>
        <v>0</v>
      </c>
      <c r="O341" s="37">
        <f>'16 Ændringsydelser'!N40</f>
        <v>0</v>
      </c>
      <c r="P341" s="37">
        <f>'16 Ændringsydelser'!O40</f>
        <v>0</v>
      </c>
      <c r="Q341" s="37">
        <f>'16 Ændringsydelser'!P40</f>
        <v>0</v>
      </c>
      <c r="R341" s="37">
        <f>'16 Ændringsydelser'!Q40</f>
        <v>0</v>
      </c>
      <c r="S341" s="37">
        <f>'16 Ændringsydelser'!R40</f>
        <v>150</v>
      </c>
      <c r="T341" s="39">
        <f>'16 Ændringsydelser'!S40</f>
        <v>1200</v>
      </c>
      <c r="U341" s="40">
        <f>'16 Ændringsydelser'!T40</f>
        <v>180000</v>
      </c>
      <c r="V341" s="37" t="s">
        <v>98</v>
      </c>
      <c r="W341" s="37" t="s">
        <v>98</v>
      </c>
      <c r="X341" s="37" t="s">
        <v>98</v>
      </c>
    </row>
    <row r="342" spans="1:24" s="37" customFormat="1" x14ac:dyDescent="0.25">
      <c r="A342" s="37">
        <v>5</v>
      </c>
      <c r="B342" s="37" t="s">
        <v>748</v>
      </c>
      <c r="C342" s="37" t="s">
        <v>749</v>
      </c>
      <c r="D342" s="38" t="str">
        <f>'16 Ændringsydelser'!C41</f>
        <v>STK</v>
      </c>
      <c r="E342" s="37">
        <f>'16 Ændringsydelser'!D41</f>
        <v>25</v>
      </c>
      <c r="F342" s="37">
        <f>'16 Ændringsydelser'!E41</f>
        <v>0</v>
      </c>
      <c r="G342" s="37">
        <f>'16 Ændringsydelser'!F41</f>
        <v>0</v>
      </c>
      <c r="H342" s="37">
        <f>'16 Ændringsydelser'!G41</f>
        <v>0</v>
      </c>
      <c r="I342" s="37">
        <f>'16 Ændringsydelser'!H41</f>
        <v>0</v>
      </c>
      <c r="J342" s="37">
        <f>'16 Ændringsydelser'!I41</f>
        <v>0</v>
      </c>
      <c r="K342" s="37">
        <f>'16 Ændringsydelser'!J41</f>
        <v>0</v>
      </c>
      <c r="L342" s="37">
        <f>'16 Ændringsydelser'!K41</f>
        <v>0</v>
      </c>
      <c r="M342" s="37">
        <f>'16 Ændringsydelser'!L41</f>
        <v>0</v>
      </c>
      <c r="N342" s="37">
        <f>'16 Ændringsydelser'!M41</f>
        <v>0</v>
      </c>
      <c r="O342" s="37">
        <f>'16 Ændringsydelser'!N41</f>
        <v>0</v>
      </c>
      <c r="P342" s="37">
        <f>'16 Ændringsydelser'!O41</f>
        <v>0</v>
      </c>
      <c r="Q342" s="37">
        <f>'16 Ændringsydelser'!P41</f>
        <v>0</v>
      </c>
      <c r="R342" s="37">
        <f>'16 Ændringsydelser'!Q41</f>
        <v>0</v>
      </c>
      <c r="S342" s="37">
        <f>'16 Ændringsydelser'!R41</f>
        <v>25</v>
      </c>
      <c r="T342" s="39">
        <f>'16 Ændringsydelser'!S41</f>
        <v>7500</v>
      </c>
      <c r="U342" s="40">
        <f>'16 Ændringsydelser'!T41</f>
        <v>187500</v>
      </c>
      <c r="V342" s="37" t="s">
        <v>98</v>
      </c>
      <c r="W342" s="37" t="s">
        <v>98</v>
      </c>
      <c r="X342" s="37" t="s">
        <v>98</v>
      </c>
    </row>
    <row r="343" spans="1:24" s="37" customFormat="1" x14ac:dyDescent="0.25">
      <c r="A343" s="37">
        <v>5</v>
      </c>
      <c r="B343" s="37" t="s">
        <v>750</v>
      </c>
      <c r="C343" s="37" t="s">
        <v>751</v>
      </c>
      <c r="D343" s="38" t="str">
        <f>'16 Ændringsydelser'!C42</f>
        <v/>
      </c>
      <c r="E343" s="37">
        <f>'16 Ændringsydelser'!D42</f>
        <v>0</v>
      </c>
      <c r="F343" s="37">
        <f>'16 Ændringsydelser'!E42</f>
        <v>0</v>
      </c>
      <c r="G343" s="37">
        <f>'16 Ændringsydelser'!F42</f>
        <v>0</v>
      </c>
      <c r="H343" s="37">
        <f>'16 Ændringsydelser'!G42</f>
        <v>0</v>
      </c>
      <c r="I343" s="37">
        <f>'16 Ændringsydelser'!H42</f>
        <v>0</v>
      </c>
      <c r="J343" s="37">
        <f>'16 Ændringsydelser'!I42</f>
        <v>0</v>
      </c>
      <c r="K343" s="37">
        <f>'16 Ændringsydelser'!J42</f>
        <v>0</v>
      </c>
      <c r="L343" s="37">
        <f>'16 Ændringsydelser'!K42</f>
        <v>0</v>
      </c>
      <c r="M343" s="37">
        <f>'16 Ændringsydelser'!L42</f>
        <v>0</v>
      </c>
      <c r="N343" s="37">
        <f>'16 Ændringsydelser'!M42</f>
        <v>0</v>
      </c>
      <c r="O343" s="37">
        <f>'16 Ændringsydelser'!N42</f>
        <v>0</v>
      </c>
      <c r="P343" s="37">
        <f>'16 Ændringsydelser'!O42</f>
        <v>0</v>
      </c>
      <c r="Q343" s="37">
        <f>'16 Ændringsydelser'!P42</f>
        <v>0</v>
      </c>
      <c r="R343" s="37">
        <f>'16 Ændringsydelser'!Q42</f>
        <v>0</v>
      </c>
      <c r="S343" s="37">
        <f>'16 Ændringsydelser'!R42</f>
        <v>0</v>
      </c>
      <c r="T343" s="39">
        <f>'16 Ændringsydelser'!S42</f>
        <v>0</v>
      </c>
      <c r="U343" s="40">
        <f>'16 Ændringsydelser'!T42</f>
        <v>0</v>
      </c>
      <c r="V343" s="37" t="s">
        <v>98</v>
      </c>
      <c r="W343" s="37" t="s">
        <v>98</v>
      </c>
      <c r="X343" s="37" t="s">
        <v>98</v>
      </c>
    </row>
    <row r="344" spans="1:24" s="37" customFormat="1" x14ac:dyDescent="0.25">
      <c r="A344" s="37">
        <v>6</v>
      </c>
      <c r="B344" s="37" t="s">
        <v>752</v>
      </c>
      <c r="C344" s="37" t="s">
        <v>753</v>
      </c>
      <c r="D344" s="38" t="str">
        <f>'16 Ændringsydelser'!C43</f>
        <v>STK</v>
      </c>
      <c r="E344" s="37">
        <f>'16 Ændringsydelser'!D43</f>
        <v>20</v>
      </c>
      <c r="F344" s="37">
        <f>'16 Ændringsydelser'!E43</f>
        <v>0</v>
      </c>
      <c r="G344" s="37">
        <f>'16 Ændringsydelser'!F43</f>
        <v>0</v>
      </c>
      <c r="H344" s="37">
        <f>'16 Ændringsydelser'!G43</f>
        <v>0</v>
      </c>
      <c r="I344" s="37">
        <f>'16 Ændringsydelser'!H43</f>
        <v>0</v>
      </c>
      <c r="J344" s="37">
        <f>'16 Ændringsydelser'!I43</f>
        <v>0</v>
      </c>
      <c r="K344" s="37">
        <f>'16 Ændringsydelser'!J43</f>
        <v>0</v>
      </c>
      <c r="L344" s="37">
        <f>'16 Ændringsydelser'!K43</f>
        <v>0</v>
      </c>
      <c r="M344" s="37">
        <f>'16 Ændringsydelser'!L43</f>
        <v>100</v>
      </c>
      <c r="N344" s="37">
        <f>'16 Ændringsydelser'!M43</f>
        <v>0</v>
      </c>
      <c r="O344" s="37">
        <f>'16 Ændringsydelser'!N43</f>
        <v>0</v>
      </c>
      <c r="P344" s="37">
        <f>'16 Ændringsydelser'!O43</f>
        <v>0</v>
      </c>
      <c r="Q344" s="37">
        <f>'16 Ændringsydelser'!P43</f>
        <v>120</v>
      </c>
      <c r="R344" s="37">
        <f>'16 Ændringsydelser'!Q43</f>
        <v>0</v>
      </c>
      <c r="S344" s="37">
        <f>'16 Ændringsydelser'!R43</f>
        <v>240</v>
      </c>
      <c r="T344" s="39">
        <f>'16 Ændringsydelser'!S43</f>
        <v>1200</v>
      </c>
      <c r="U344" s="40">
        <f>'16 Ændringsydelser'!T43</f>
        <v>288000</v>
      </c>
      <c r="V344" s="37" t="s">
        <v>98</v>
      </c>
      <c r="W344" s="37" t="s">
        <v>98</v>
      </c>
      <c r="X344" s="37" t="s">
        <v>98</v>
      </c>
    </row>
    <row r="345" spans="1:24" s="37" customFormat="1" x14ac:dyDescent="0.25">
      <c r="A345" s="37">
        <v>6</v>
      </c>
      <c r="B345" s="37" t="s">
        <v>754</v>
      </c>
      <c r="C345" s="37" t="s">
        <v>755</v>
      </c>
      <c r="D345" s="38" t="str">
        <f>'16 Ændringsydelser'!C44</f>
        <v>STK</v>
      </c>
      <c r="E345" s="37">
        <f>'16 Ændringsydelser'!D44</f>
        <v>20</v>
      </c>
      <c r="F345" s="37">
        <f>'16 Ændringsydelser'!E44</f>
        <v>0</v>
      </c>
      <c r="G345" s="37">
        <f>'16 Ændringsydelser'!F44</f>
        <v>0</v>
      </c>
      <c r="H345" s="37">
        <f>'16 Ændringsydelser'!G44</f>
        <v>0</v>
      </c>
      <c r="I345" s="37">
        <f>'16 Ændringsydelser'!H44</f>
        <v>0</v>
      </c>
      <c r="J345" s="37">
        <f>'16 Ændringsydelser'!I44</f>
        <v>0</v>
      </c>
      <c r="K345" s="37">
        <f>'16 Ændringsydelser'!J44</f>
        <v>0</v>
      </c>
      <c r="L345" s="37">
        <f>'16 Ændringsydelser'!K44</f>
        <v>0</v>
      </c>
      <c r="M345" s="37">
        <f>'16 Ændringsydelser'!L44</f>
        <v>100</v>
      </c>
      <c r="N345" s="37">
        <f>'16 Ændringsydelser'!M44</f>
        <v>0</v>
      </c>
      <c r="O345" s="37">
        <f>'16 Ændringsydelser'!N44</f>
        <v>0</v>
      </c>
      <c r="P345" s="37">
        <f>'16 Ændringsydelser'!O44</f>
        <v>0</v>
      </c>
      <c r="Q345" s="37">
        <f>'16 Ændringsydelser'!P44</f>
        <v>120</v>
      </c>
      <c r="R345" s="37">
        <f>'16 Ændringsydelser'!Q44</f>
        <v>0</v>
      </c>
      <c r="S345" s="37">
        <f>'16 Ændringsydelser'!R44</f>
        <v>240</v>
      </c>
      <c r="T345" s="39">
        <f>'16 Ændringsydelser'!S44</f>
        <v>1200</v>
      </c>
      <c r="U345" s="40">
        <f>'16 Ændringsydelser'!T44</f>
        <v>288000</v>
      </c>
      <c r="V345" s="37" t="s">
        <v>98</v>
      </c>
      <c r="W345" s="37" t="s">
        <v>98</v>
      </c>
      <c r="X345" s="37" t="s">
        <v>98</v>
      </c>
    </row>
    <row r="346" spans="1:24" s="37" customFormat="1" x14ac:dyDescent="0.25">
      <c r="A346" s="37">
        <v>5</v>
      </c>
      <c r="B346" s="37" t="s">
        <v>756</v>
      </c>
      <c r="C346" s="37" t="s">
        <v>757</v>
      </c>
      <c r="D346" s="38" t="str">
        <f>'16 Ændringsydelser'!C45</f>
        <v>STK</v>
      </c>
      <c r="E346" s="37">
        <f>'16 Ændringsydelser'!D45</f>
        <v>10</v>
      </c>
      <c r="F346" s="37">
        <f>'16 Ændringsydelser'!E45</f>
        <v>0</v>
      </c>
      <c r="G346" s="37">
        <f>'16 Ændringsydelser'!F45</f>
        <v>0</v>
      </c>
      <c r="H346" s="37">
        <f>'16 Ændringsydelser'!G45</f>
        <v>0</v>
      </c>
      <c r="I346" s="37">
        <f>'16 Ændringsydelser'!H45</f>
        <v>0</v>
      </c>
      <c r="J346" s="37">
        <f>'16 Ændringsydelser'!I45</f>
        <v>0</v>
      </c>
      <c r="K346" s="37">
        <f>'16 Ændringsydelser'!J45</f>
        <v>0</v>
      </c>
      <c r="L346" s="37">
        <f>'16 Ændringsydelser'!K45</f>
        <v>0</v>
      </c>
      <c r="M346" s="37">
        <f>'16 Ændringsydelser'!L45</f>
        <v>10</v>
      </c>
      <c r="N346" s="37">
        <f>'16 Ændringsydelser'!M45</f>
        <v>0</v>
      </c>
      <c r="O346" s="37">
        <f>'16 Ændringsydelser'!N45</f>
        <v>0</v>
      </c>
      <c r="P346" s="37">
        <f>'16 Ændringsydelser'!O45</f>
        <v>0</v>
      </c>
      <c r="Q346" s="37">
        <f>'16 Ændringsydelser'!P45</f>
        <v>11</v>
      </c>
      <c r="R346" s="37">
        <f>'16 Ændringsydelser'!Q45</f>
        <v>0</v>
      </c>
      <c r="S346" s="37">
        <f>'16 Ændringsydelser'!R45</f>
        <v>31</v>
      </c>
      <c r="T346" s="39">
        <f>'16 Ændringsydelser'!S45</f>
        <v>10000</v>
      </c>
      <c r="U346" s="40">
        <f>'16 Ændringsydelser'!T45</f>
        <v>310000</v>
      </c>
      <c r="V346" s="37" t="s">
        <v>98</v>
      </c>
      <c r="W346" s="37" t="s">
        <v>98</v>
      </c>
      <c r="X346" s="37" t="s">
        <v>98</v>
      </c>
    </row>
    <row r="347" spans="1:24" s="37" customFormat="1" x14ac:dyDescent="0.25">
      <c r="A347" s="37">
        <v>5</v>
      </c>
      <c r="B347" s="37" t="s">
        <v>758</v>
      </c>
      <c r="C347" s="37" t="s">
        <v>759</v>
      </c>
      <c r="D347" s="38" t="str">
        <f>'16 Ændringsydelser'!C46</f>
        <v>STK</v>
      </c>
      <c r="E347" s="37">
        <f>'16 Ændringsydelser'!D46</f>
        <v>10</v>
      </c>
      <c r="F347" s="37">
        <f>'16 Ændringsydelser'!E46</f>
        <v>0</v>
      </c>
      <c r="G347" s="37">
        <f>'16 Ændringsydelser'!F46</f>
        <v>0</v>
      </c>
      <c r="H347" s="37">
        <f>'16 Ændringsydelser'!G46</f>
        <v>0</v>
      </c>
      <c r="I347" s="37">
        <f>'16 Ændringsydelser'!H46</f>
        <v>0</v>
      </c>
      <c r="J347" s="37">
        <f>'16 Ændringsydelser'!I46</f>
        <v>0</v>
      </c>
      <c r="K347" s="37">
        <f>'16 Ændringsydelser'!J46</f>
        <v>0</v>
      </c>
      <c r="L347" s="37">
        <f>'16 Ændringsydelser'!K46</f>
        <v>0</v>
      </c>
      <c r="M347" s="37">
        <f>'16 Ændringsydelser'!L46</f>
        <v>0</v>
      </c>
      <c r="N347" s="37">
        <f>'16 Ændringsydelser'!M46</f>
        <v>0</v>
      </c>
      <c r="O347" s="37">
        <f>'16 Ændringsydelser'!N46</f>
        <v>0</v>
      </c>
      <c r="P347" s="37">
        <f>'16 Ændringsydelser'!O46</f>
        <v>0</v>
      </c>
      <c r="Q347" s="37">
        <f>'16 Ændringsydelser'!P46</f>
        <v>0</v>
      </c>
      <c r="R347" s="37">
        <f>'16 Ændringsydelser'!Q46</f>
        <v>0</v>
      </c>
      <c r="S347" s="37">
        <f>'16 Ændringsydelser'!R46</f>
        <v>10</v>
      </c>
      <c r="T347" s="39">
        <f>'16 Ændringsydelser'!S46</f>
        <v>15000</v>
      </c>
      <c r="U347" s="40">
        <f>'16 Ændringsydelser'!T46</f>
        <v>150000</v>
      </c>
      <c r="V347" s="37" t="s">
        <v>98</v>
      </c>
      <c r="W347" s="37" t="s">
        <v>98</v>
      </c>
      <c r="X347" s="37" t="s">
        <v>98</v>
      </c>
    </row>
    <row r="348" spans="1:24" s="37" customFormat="1" x14ac:dyDescent="0.25">
      <c r="A348" s="37">
        <v>5</v>
      </c>
      <c r="B348" s="37" t="s">
        <v>760</v>
      </c>
      <c r="C348" s="37" t="s">
        <v>761</v>
      </c>
      <c r="D348" s="38" t="str">
        <f>'16 Ændringsydelser'!C47</f>
        <v>STK</v>
      </c>
      <c r="E348" s="37">
        <f>'16 Ændringsydelser'!D47</f>
        <v>25</v>
      </c>
      <c r="F348" s="37">
        <f>'16 Ændringsydelser'!E47</f>
        <v>0</v>
      </c>
      <c r="G348" s="37">
        <f>'16 Ændringsydelser'!F47</f>
        <v>0</v>
      </c>
      <c r="H348" s="37">
        <f>'16 Ændringsydelser'!G47</f>
        <v>0</v>
      </c>
      <c r="I348" s="37">
        <f>'16 Ændringsydelser'!H47</f>
        <v>0</v>
      </c>
      <c r="J348" s="37">
        <f>'16 Ændringsydelser'!I47</f>
        <v>0</v>
      </c>
      <c r="K348" s="37">
        <f>'16 Ændringsydelser'!J47</f>
        <v>0</v>
      </c>
      <c r="L348" s="37">
        <f>'16 Ændringsydelser'!K47</f>
        <v>0</v>
      </c>
      <c r="M348" s="37">
        <f>'16 Ændringsydelser'!L47</f>
        <v>0</v>
      </c>
      <c r="N348" s="37">
        <f>'16 Ændringsydelser'!M47</f>
        <v>0</v>
      </c>
      <c r="O348" s="37">
        <f>'16 Ændringsydelser'!N47</f>
        <v>0</v>
      </c>
      <c r="P348" s="37">
        <f>'16 Ændringsydelser'!O47</f>
        <v>0</v>
      </c>
      <c r="Q348" s="37">
        <f>'16 Ændringsydelser'!P47</f>
        <v>0</v>
      </c>
      <c r="R348" s="37">
        <f>'16 Ændringsydelser'!Q47</f>
        <v>0</v>
      </c>
      <c r="S348" s="37">
        <f>'16 Ændringsydelser'!R47</f>
        <v>25</v>
      </c>
      <c r="T348" s="39">
        <f>'16 Ændringsydelser'!S47</f>
        <v>3500</v>
      </c>
      <c r="U348" s="40">
        <f>'16 Ændringsydelser'!T47</f>
        <v>87500</v>
      </c>
      <c r="V348" s="37" t="s">
        <v>98</v>
      </c>
      <c r="W348" s="37" t="s">
        <v>98</v>
      </c>
      <c r="X348" s="37" t="s">
        <v>98</v>
      </c>
    </row>
    <row r="349" spans="1:24" s="37" customFormat="1" x14ac:dyDescent="0.25">
      <c r="A349" s="37">
        <v>5</v>
      </c>
      <c r="B349" s="37" t="s">
        <v>762</v>
      </c>
      <c r="C349" s="37" t="s">
        <v>763</v>
      </c>
      <c r="D349" s="38" t="str">
        <f>'16 Ændringsydelser'!C48</f>
        <v>M3</v>
      </c>
      <c r="E349" s="37">
        <f>'16 Ændringsydelser'!D48</f>
        <v>0</v>
      </c>
      <c r="F349" s="37">
        <f>'16 Ændringsydelser'!E48</f>
        <v>50</v>
      </c>
      <c r="G349" s="37">
        <f>'16 Ændringsydelser'!F48</f>
        <v>0</v>
      </c>
      <c r="H349" s="37">
        <f>'16 Ændringsydelser'!G48</f>
        <v>0</v>
      </c>
      <c r="I349" s="37">
        <f>'16 Ændringsydelser'!H48</f>
        <v>0</v>
      </c>
      <c r="J349" s="37">
        <f>'16 Ændringsydelser'!I48</f>
        <v>50</v>
      </c>
      <c r="K349" s="37">
        <f>'16 Ændringsydelser'!J48</f>
        <v>0</v>
      </c>
      <c r="L349" s="37">
        <f>'16 Ændringsydelser'!K48</f>
        <v>0</v>
      </c>
      <c r="M349" s="37">
        <f>'16 Ændringsydelser'!L48</f>
        <v>0</v>
      </c>
      <c r="N349" s="37">
        <f>'16 Ændringsydelser'!M48</f>
        <v>0</v>
      </c>
      <c r="O349" s="37">
        <f>'16 Ændringsydelser'!N48</f>
        <v>0</v>
      </c>
      <c r="P349" s="37">
        <f>'16 Ændringsydelser'!O48</f>
        <v>0</v>
      </c>
      <c r="Q349" s="37">
        <f>'16 Ændringsydelser'!P48</f>
        <v>0</v>
      </c>
      <c r="R349" s="37">
        <f>'16 Ændringsydelser'!Q48</f>
        <v>0</v>
      </c>
      <c r="S349" s="37">
        <f>'16 Ændringsydelser'!R48</f>
        <v>100</v>
      </c>
      <c r="T349" s="39">
        <f>'16 Ændringsydelser'!S48</f>
        <v>850</v>
      </c>
      <c r="U349" s="40">
        <f>'16 Ændringsydelser'!T48</f>
        <v>85000</v>
      </c>
      <c r="V349" s="37" t="s">
        <v>98</v>
      </c>
      <c r="W349" s="37" t="s">
        <v>98</v>
      </c>
      <c r="X349" s="37" t="s">
        <v>98</v>
      </c>
    </row>
    <row r="351" spans="1:24" s="41" customFormat="1" x14ac:dyDescent="0.25">
      <c r="C351" s="41" t="s">
        <v>129</v>
      </c>
      <c r="T351" s="42"/>
      <c r="U351" s="43" t="e">
        <f>SUM(U2:U349)</f>
        <v>#REF!</v>
      </c>
    </row>
    <row r="352" spans="1:24" x14ac:dyDescent="0.25">
      <c r="A352" t="s">
        <v>98</v>
      </c>
      <c r="B352" t="s">
        <v>98</v>
      </c>
      <c r="C352" t="s">
        <v>130</v>
      </c>
      <c r="T352" s="44"/>
    </row>
  </sheetData>
  <pageMargins left="0.6" right="0.4" top="0.6" bottom="0.4" header="0.2" footer="0.2"/>
  <pageSetup paperSize="8" scale="26" fitToHeight="0" orientation="landscape" horizontalDpi="2400" verticalDpi="2400" r:id="rId1"/>
  <headerFooter>
    <oddFooter>1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SharedContentType xmlns="Microsoft.SharePoint.Taxonomy.ContentTypeSync" SourceId="eeea9554-18f9-45df-b48a-d6aeffd9a926" ContentTypeId="0x010100F4D0F75A2B195B4AA70945ACAB61C2B801" PreviousValue="false" LastSyncTimeStamp="2022-06-13T08:16:19.623Z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BDK Projektdokument" ma:contentTypeID="0x010100F4D0F75A2B195B4AA70945ACAB61C2B80100B30E0CB0DD60A047A10BCFAE10DBC81E" ma:contentTypeVersion="15" ma:contentTypeDescription="" ma:contentTypeScope="" ma:versionID="0a3e4de815481ac9683a41ea3ef5988b">
  <xsd:schema xmlns:xsd="http://www.w3.org/2001/XMLSchema" xmlns:xs="http://www.w3.org/2001/XMLSchema" xmlns:p="http://schemas.microsoft.com/office/2006/metadata/properties" xmlns:ns2="0b1d3e6c-87a2-4f5d-a056-7d22a60d1096" xmlns:ns3="2c8898e1-d2fb-49e5-bd22-e78955a92ea2" xmlns:ns4="fc9acb75-9a23-43c3-bf41-2b89f8437a39" targetNamespace="http://schemas.microsoft.com/office/2006/metadata/properties" ma:root="true" ma:fieldsID="b65428b1291728f43793cf18d62d781f" ns2:_="" ns3:_="" ns4:_="">
    <xsd:import namespace="0b1d3e6c-87a2-4f5d-a056-7d22a60d1096"/>
    <xsd:import namespace="2c8898e1-d2fb-49e5-bd22-e78955a92ea2"/>
    <xsd:import namespace="fc9acb75-9a23-43c3-bf41-2b89f8437a39"/>
    <xsd:element name="properties">
      <xsd:complexType>
        <xsd:sequence>
          <xsd:element name="documentManagement">
            <xsd:complexType>
              <xsd:all>
                <xsd:element ref="ns2:bdkSiteID" minOccurs="0"/>
                <xsd:element ref="ns2:bdkSiteName" minOccurs="0"/>
                <xsd:element ref="ns2:bdkProgramName" minOccurs="0"/>
                <xsd:element ref="ns2:bdkProjectName" minOccurs="0"/>
                <xsd:element ref="ns2:bdkForArchivingPurposes" minOccurs="0"/>
                <xsd:element ref="ns2:TaxCatchAllLabel" minOccurs="0"/>
                <xsd:element ref="ns2:oadaabc2b715461c9dc529f3a08f9d2a" minOccurs="0"/>
                <xsd:element ref="ns3:TaxCatchAll" minOccurs="0"/>
                <xsd:element ref="ns2:kcbd44db53d9456895245029144251bf" minOccurs="0"/>
                <xsd:element ref="ns2:e25670d49a4544908fca86d95beba209" minOccurs="0"/>
                <xsd:element ref="ns2:b1827d8bbc03418ba504ed43e82f6e05" minOccurs="0"/>
                <xsd:element ref="ns2:be0cb178d4934844ba9fcede40f77987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d3e6c-87a2-4f5d-a056-7d22a60d1096" elementFormDefault="qualified">
    <xsd:import namespace="http://schemas.microsoft.com/office/2006/documentManagement/types"/>
    <xsd:import namespace="http://schemas.microsoft.com/office/infopath/2007/PartnerControls"/>
    <xsd:element name="bdkSiteID" ma:index="2" nillable="true" ma:displayName="SiteID" ma:internalName="bdkSiteID">
      <xsd:simpleType>
        <xsd:restriction base="dms:Text">
          <xsd:maxLength value="255"/>
        </xsd:restriction>
      </xsd:simpleType>
    </xsd:element>
    <xsd:element name="bdkSiteName" ma:index="3" nillable="true" ma:displayName="Sitenavn" ma:internalName="bdkSiteName">
      <xsd:simpleType>
        <xsd:restriction base="dms:Text">
          <xsd:maxLength value="255"/>
        </xsd:restriction>
      </xsd:simpleType>
    </xsd:element>
    <xsd:element name="bdkProgramName" ma:index="8" nillable="true" ma:displayName="Programnavn" ma:internalName="bdkProgramName">
      <xsd:simpleType>
        <xsd:restriction base="dms:Text">
          <xsd:maxLength value="255"/>
        </xsd:restriction>
      </xsd:simpleType>
    </xsd:element>
    <xsd:element name="bdkProjectName" ma:index="10" nillable="true" ma:displayName="Projektnavn" ma:internalName="bdkProjectName">
      <xsd:simpleType>
        <xsd:restriction base="dms:Text">
          <xsd:maxLength value="255"/>
        </xsd:restriction>
      </xsd:simpleType>
    </xsd:element>
    <xsd:element name="bdkForArchivingPurposes" ma:index="11" nillable="true" ma:displayName="Til arkivformål" ma:default="1" ma:description="Anvendes til at angive om indholdet skal afleveres til Rigsarkivet. Hvis reglerne er ukendte eller ikke givne af omstændighederne bør denne sættes til &quot;Ja&quot;" ma:internalName="bdkForArchivingPurposes">
      <xsd:simpleType>
        <xsd:restriction base="dms:Boolean"/>
      </xsd:simpleType>
    </xsd:element>
    <xsd:element name="TaxCatchAllLabel" ma:index="12" nillable="true" ma:displayName="Taxonomy Catch All Column1" ma:hidden="true" ma:list="{d0dc6fa6-459f-4a46-b0cc-e5b456c83e7d}" ma:internalName="TaxCatchAllLabel" ma:readOnly="true" ma:showField="CatchAllDataLabel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adaabc2b715461c9dc529f3a08f9d2a" ma:index="14" nillable="true" ma:displayName="bdkClassification_0" ma:hidden="true" ma:internalName="oadaabc2b715461c9dc529f3a08f9d2a">
      <xsd:simpleType>
        <xsd:restriction base="dms:Note"/>
      </xsd:simpleType>
    </xsd:element>
    <xsd:element name="kcbd44db53d9456895245029144251bf" ma:index="17" nillable="true" ma:displayName="bdkDiscipline_0" ma:hidden="true" ma:internalName="kcbd44db53d9456895245029144251bf">
      <xsd:simpleType>
        <xsd:restriction base="dms:Note"/>
      </xsd:simpleType>
    </xsd:element>
    <xsd:element name="e25670d49a4544908fca86d95beba209" ma:index="19" nillable="true" ma:displayName="bdkDocumentType_0" ma:hidden="true" ma:internalName="e25670d49a4544908fca86d95beba209">
      <xsd:simpleType>
        <xsd:restriction base="dms:Note"/>
      </xsd:simpleType>
    </xsd:element>
    <xsd:element name="b1827d8bbc03418ba504ed43e82f6e05" ma:index="22" nillable="true" ma:displayName="bdkProjectType_0" ma:hidden="true" ma:internalName="b1827d8bbc03418ba504ed43e82f6e05">
      <xsd:simpleType>
        <xsd:restriction base="dms:Note"/>
      </xsd:simpleType>
    </xsd:element>
    <xsd:element name="be0cb178d4934844ba9fcede40f77987" ma:index="24" nillable="true" ma:displayName="bdkOrganization_0" ma:hidden="true" ma:internalName="be0cb178d4934844ba9fcede40f77987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898e1-d2fb-49e5-bd22-e78955a92ea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description="" ma:hidden="true" ma:list="{d0dc6fa6-459f-4a46-b0cc-e5b456c83e7d}" ma:internalName="TaxCatchAll" ma:showField="CatchAllData" ma:web="6c814f0a-b967-40f8-8c26-d10c94f817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9acb75-9a23-43c3-bf41-2b89f8437a39" elementFormDefault="qualified">
    <xsd:import namespace="http://schemas.microsoft.com/office/2006/documentManagement/types"/>
    <xsd:import namespace="http://schemas.microsoft.com/office/infopath/2007/PartnerControls"/>
    <xsd:element name="_dlc_DocId" ma:index="25" nillable="true" ma:displayName="Værdi for dokument-id" ma:description="Værdien af det dokument-id, der er tildelt dette element." ma:indexed="true" ma:internalName="_dlc_DocId" ma:readOnly="true">
      <xsd:simpleType>
        <xsd:restriction base="dms:Text"/>
      </xsd:simpleType>
    </xsd:element>
    <xsd:element name="_dlc_DocIdUrl" ma:index="26" nillable="true" ma:displayName="Dokument-id" ma:description="Permanent link til dette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7" nillable="true" ma:displayName="Vedvarende id" ma:description="Behold id ved tilføjelse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1" ma:displayName="Indholdstype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8898e1-d2fb-49e5-bd22-e78955a92ea2">
      <Value>95</Value>
      <Value>14</Value>
      <Value>102</Value>
      <Value>5</Value>
      <Value>21</Value>
    </TaxCatchAll>
    <be0cb178d4934844ba9fcede40f77987 xmlns="0b1d3e6c-87a2-4f5d-a056-7d22a60d1096" xsi:nil="true"/>
    <e25670d49a4544908fca86d95beba209 xmlns="0b1d3e6c-87a2-4f5d-a056-7d22a60d1096" xsi:nil="true"/>
    <kcbd44db53d9456895245029144251bf xmlns="0b1d3e6c-87a2-4f5d-a056-7d22a60d1096" xsi:nil="true"/>
    <bdkProjectName xmlns="0b1d3e6c-87a2-4f5d-a056-7d22a60d1096" xsi:nil="true"/>
    <oadaabc2b715461c9dc529f3a08f9d2a xmlns="0b1d3e6c-87a2-4f5d-a056-7d22a60d1096" xsi:nil="true"/>
    <bdkSiteID xmlns="0b1d3e6c-87a2-4f5d-a056-7d22a60d1096" xsi:nil="true"/>
    <bdkSiteName xmlns="0b1d3e6c-87a2-4f5d-a056-7d22a60d1096" xsi:nil="true"/>
    <bdkProgramName xmlns="0b1d3e6c-87a2-4f5d-a056-7d22a60d1096" xsi:nil="true"/>
    <bdkForArchivingPurposes xmlns="0b1d3e6c-87a2-4f5d-a056-7d22a60d1096">true</bdkForArchivingPurposes>
    <b1827d8bbc03418ba504ed43e82f6e05 xmlns="0b1d3e6c-87a2-4f5d-a056-7d22a60d1096" xsi:nil="true"/>
    <_dlc_DocId xmlns="fc9acb75-9a23-43c3-bf41-2b89f8437a39">NXJMQDXV2NSE-1541106332-1052</_dlc_DocId>
    <_dlc_DocIdUrl xmlns="fc9acb75-9a23-43c3-bf41-2b89f8437a39">
      <Url>https://banedanmarkonline.sharepoint.com/sites/ANL009178/_layouts/15/DocIdRedir.aspx?ID=NXJMQDXV2NSE-1541106332-1052</Url>
      <Description>NXJMQDXV2NSE-1541106332-1052</Description>
    </_dlc_DocIdUrl>
  </documentManagement>
</p:properties>
</file>

<file path=customXml/itemProps1.xml><?xml version="1.0" encoding="utf-8"?>
<ds:datastoreItem xmlns:ds="http://schemas.openxmlformats.org/officeDocument/2006/customXml" ds:itemID="{BC1055E5-1907-4AC9-987C-A1BB63AC46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543190-F948-4EB0-9545-E139A52038B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B0EC9B6-C5DB-4B79-8E1F-9C362F0B554E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A4D07357-51FD-429D-A06D-3B1441735F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1d3e6c-87a2-4f5d-a056-7d22a60d1096"/>
    <ds:schemaRef ds:uri="2c8898e1-d2fb-49e5-bd22-e78955a92ea2"/>
    <ds:schemaRef ds:uri="fc9acb75-9a23-43c3-bf41-2b89f8437a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67341B91-B5FA-42AD-9003-6495DB289793}">
  <ds:schemaRefs>
    <ds:schemaRef ds:uri="http://schemas.microsoft.com/office/2006/metadata/properties"/>
    <ds:schemaRef ds:uri="http://schemas.microsoft.com/office/infopath/2007/PartnerControls"/>
    <ds:schemaRef ds:uri="2c8898e1-d2fb-49e5-bd22-e78955a92ea2"/>
    <ds:schemaRef ds:uri="0b1d3e6c-87a2-4f5d-a056-7d22a60d1096"/>
    <ds:schemaRef ds:uri="fc9acb75-9a23-43c3-bf41-2b89f8437a3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16</vt:i4>
      </vt:variant>
      <vt:variant>
        <vt:lpstr>Navngivne områder</vt:lpstr>
      </vt:variant>
      <vt:variant>
        <vt:i4>2</vt:i4>
      </vt:variant>
    </vt:vector>
  </HeadingPairs>
  <TitlesOfParts>
    <vt:vector size="18" baseType="lpstr">
      <vt:lpstr>Forside</vt:lpstr>
      <vt:lpstr>Revisionslog</vt:lpstr>
      <vt:lpstr>Hovedtilbudsliste</vt:lpstr>
      <vt:lpstr>3 Spor</vt:lpstr>
      <vt:lpstr>4 Jord og ballast</vt:lpstr>
      <vt:lpstr>5 Afvanding</vt:lpstr>
      <vt:lpstr>6 Kabelomlægning og føringsveje</vt:lpstr>
      <vt:lpstr>8 Perroner</vt:lpstr>
      <vt:lpstr>9 Kørestrøm</vt:lpstr>
      <vt:lpstr>10 Sikring</vt:lpstr>
      <vt:lpstr>12 Broer og konstruktioner</vt:lpstr>
      <vt:lpstr>14 Håndtering og bortskaffelse</vt:lpstr>
      <vt:lpstr>15 Administration og arbejdspla</vt:lpstr>
      <vt:lpstr>16 Ændringsydelser</vt:lpstr>
      <vt:lpstr>CO2 aftryk</vt:lpstr>
      <vt:lpstr>NAB</vt:lpstr>
      <vt:lpstr>Forside!Udskriftsområde</vt:lpstr>
      <vt:lpstr>Hovedtilbudsliste!Udskriftsområde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2024-08-08T12:08:37Z</dcterms:created>
  <dcterms:modified xsi:type="dcterms:W3CDTF">2026-05-04T11:39:13Z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0x010100F4D0F75A2B195B4AA70945ACAB61C2B80100B30E0CB0DD60A047A10BCFAE10DBC81E</vt:lpwstr>
  </property>
  <property fmtid="{D5CDD505-2E9C-101B-9397-08002B2CF9AE}" pid="3" name="oadaabc2b715461c9dc529f3a08f9d2a0">
    <vt:lpwstr>Til tjenestebrug|42827275-7abe-4894-bd2c-705875c2b784</vt:lpwstr>
  </property>
  <property fmtid="{D5CDD505-2E9C-101B-9397-08002B2CF9AE}" pid="4" name="_dlc_DocIdItemGuid">
    <vt:lpwstr>1f059d60-ef92-4094-87d5-66141f3e3faa</vt:lpwstr>
  </property>
  <property fmtid="{D5CDD505-2E9C-101B-9397-08002B2CF9AE}" pid="5" name="bdkClassification">
    <vt:lpwstr>102;#Til tjenestebrug|42827275-7abe-4894-bd2c-705875c2b784</vt:lpwstr>
  </property>
  <property fmtid="{D5CDD505-2E9C-101B-9397-08002B2CF9AE}" pid="6" name="kcbd44db53d9456895245029144251bf0">
    <vt:lpwstr>Projektledelse|9a50094f-89ff-4024-90cf-6a0650880eb7</vt:lpwstr>
  </property>
  <property fmtid="{D5CDD505-2E9C-101B-9397-08002B2CF9AE}" pid="7" name="be0cb178d4934844ba9fcede40f779870">
    <vt:lpwstr>Banedanmark|1a052a23-8258-41cb-9498-edf646d525e6</vt:lpwstr>
  </property>
  <property fmtid="{D5CDD505-2E9C-101B-9397-08002B2CF9AE}" pid="8" name="MediaServiceImageTags">
    <vt:lpwstr/>
  </property>
  <property fmtid="{D5CDD505-2E9C-101B-9397-08002B2CF9AE}" pid="9" name="e25670d49a4544908fca86d95beba2090">
    <vt:lpwstr>Projektbeskrivelse|618b6d16-dd9f-4919-a3fa-c61faa57a028</vt:lpwstr>
  </property>
  <property fmtid="{D5CDD505-2E9C-101B-9397-08002B2CF9AE}" pid="10" name="b1827d8bbc03418ba504ed43e82f6e050">
    <vt:lpwstr>Infrastrukturprojekt|3503b396-e716-49aa-96df-d3aecee5d986</vt:lpwstr>
  </property>
  <property fmtid="{D5CDD505-2E9C-101B-9397-08002B2CF9AE}" pid="11" name="bdkProjectType">
    <vt:lpwstr>5;#Infrastrukturprojekt|3503b396-e716-49aa-96df-d3aecee5d986</vt:lpwstr>
  </property>
  <property fmtid="{D5CDD505-2E9C-101B-9397-08002B2CF9AE}" pid="12" name="bdkOrganization">
    <vt:lpwstr>21;#Banedanmark|1a052a23-8258-41cb-9498-edf646d525e6</vt:lpwstr>
  </property>
  <property fmtid="{D5CDD505-2E9C-101B-9397-08002B2CF9AE}" pid="13" name="bdkDiscipline">
    <vt:lpwstr>14;#Projektledelse|9a50094f-89ff-4024-90cf-6a0650880eb7</vt:lpwstr>
  </property>
  <property fmtid="{D5CDD505-2E9C-101B-9397-08002B2CF9AE}" pid="14" name="bdkDocumentType">
    <vt:lpwstr>95;#Projektbeskrivelse|618b6d16-dd9f-4919-a3fa-c61faa57a028</vt:lpwstr>
  </property>
  <property fmtid="{D5CDD505-2E9C-101B-9397-08002B2CF9AE}" pid="15" name="lcf76f155ced4ddcb4097134ff3c332f">
    <vt:lpwstr/>
  </property>
  <property fmtid="{D5CDD505-2E9C-101B-9397-08002B2CF9AE}" pid="16" name="zfmDokumentemne">
    <vt:lpwstr/>
  </property>
  <property fmtid="{D5CDD505-2E9C-101B-9397-08002B2CF9AE}" pid="17" name="zfmGDPR">
    <vt:lpwstr/>
  </property>
</Properties>
</file>